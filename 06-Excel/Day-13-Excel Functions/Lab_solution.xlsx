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ITI-Data-Analytics-BI-journey\06-Excel\Day-13-Excel Functions\"/>
    </mc:Choice>
  </mc:AlternateContent>
  <xr:revisionPtr revIDLastSave="0" documentId="13_ncr:1_{67C3C362-C247-40F1-9A2D-E48485AC65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5" r:id="rId1"/>
    <sheet name="Questions" sheetId="8" r:id="rId2"/>
  </sheets>
  <definedNames>
    <definedName name="Sa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5" l="1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25" i="5"/>
  <c r="R41" i="5"/>
  <c r="R42" i="5"/>
  <c r="R43" i="5"/>
  <c r="R44" i="5"/>
  <c r="R45" i="5"/>
  <c r="R46" i="5"/>
  <c r="R47" i="5"/>
  <c r="R48" i="5"/>
  <c r="R49" i="5"/>
  <c r="R50" i="5"/>
  <c r="R51" i="5"/>
  <c r="R52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25" i="5"/>
  <c r="S20" i="5" a="1"/>
  <c r="S20" i="5" s="1"/>
  <c r="S9" i="5"/>
  <c r="S10" i="5"/>
  <c r="S11" i="5"/>
  <c r="S8" i="5"/>
  <c r="R9" i="5"/>
  <c r="R10" i="5"/>
  <c r="R11" i="5"/>
  <c r="R8" i="5"/>
  <c r="R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<sst xmlns="http://schemas.openxmlformats.org/spreadsheetml/2006/main" count="623" uniqueCount="86">
  <si>
    <t>OrderDetailID</t>
  </si>
  <si>
    <t>OrderID</t>
  </si>
  <si>
    <t>OrderDate</t>
  </si>
  <si>
    <t>ProductID</t>
  </si>
  <si>
    <t>Product</t>
  </si>
  <si>
    <t>ProductSubCategory</t>
  </si>
  <si>
    <t>ProductCategory</t>
  </si>
  <si>
    <t>OrderQty</t>
  </si>
  <si>
    <t>UnitPrice</t>
  </si>
  <si>
    <t>LineTotal</t>
  </si>
  <si>
    <t>TaxAmt</t>
  </si>
  <si>
    <t>Freight</t>
  </si>
  <si>
    <t>TotalDue</t>
  </si>
  <si>
    <t>HL Mountain Frame - Black, 48</t>
  </si>
  <si>
    <t>Mountain Frames</t>
  </si>
  <si>
    <t>Components</t>
  </si>
  <si>
    <t>HL Mountain Frame - Black, 42</t>
  </si>
  <si>
    <t>HL Mountain Frame - Black, 38</t>
  </si>
  <si>
    <t>AWC Logo Cap</t>
  </si>
  <si>
    <t>Caps</t>
  </si>
  <si>
    <t>Clothing</t>
  </si>
  <si>
    <t>Long-Sleeve Logo Jersey, L</t>
  </si>
  <si>
    <t>Jerseys</t>
  </si>
  <si>
    <t>HL Mountain Frame - Silver, 46</t>
  </si>
  <si>
    <t>Mountain-100 Black, 38</t>
  </si>
  <si>
    <t>Mountain Bikes</t>
  </si>
  <si>
    <t>Bikes</t>
  </si>
  <si>
    <t>Mountain-100 Black, 48</t>
  </si>
  <si>
    <t>Sport-100 Helmet, Blue</t>
  </si>
  <si>
    <t>Helmets</t>
  </si>
  <si>
    <t>Accessories</t>
  </si>
  <si>
    <t>HL Mountain Frame - Silver, 48</t>
  </si>
  <si>
    <t>Mountain-100 Black, 42</t>
  </si>
  <si>
    <t>Mountain-100 Silver, 44</t>
  </si>
  <si>
    <t>Long-Sleeve Logo Jersey, XL</t>
  </si>
  <si>
    <t>Mountain-100 Black, 44</t>
  </si>
  <si>
    <t>Sport-100 Helmet, Black</t>
  </si>
  <si>
    <t>Road-650 Red, 52</t>
  </si>
  <si>
    <t>Road Bikes</t>
  </si>
  <si>
    <t>Road-650 Black, 52</t>
  </si>
  <si>
    <t>LL Road Frame - Red, 62</t>
  </si>
  <si>
    <t>Road Frames</t>
  </si>
  <si>
    <t>Road-450 Red, 58</t>
  </si>
  <si>
    <t>LL Road Frame - Red, 44</t>
  </si>
  <si>
    <t>Road-650 Red, 44</t>
  </si>
  <si>
    <t>Road-650 Black, 58</t>
  </si>
  <si>
    <t>Road-650 Black, 44</t>
  </si>
  <si>
    <t>Road-150 Red, 56</t>
  </si>
  <si>
    <t>Road-450 Red, 44</t>
  </si>
  <si>
    <t>Road-650 Red, 48</t>
  </si>
  <si>
    <t>ML Road Frame - Red, 48</t>
  </si>
  <si>
    <t>Road-450 Red, 52</t>
  </si>
  <si>
    <t>LL Road Frame - Red, 60</t>
  </si>
  <si>
    <t>LL Road Frame - Black, 58</t>
  </si>
  <si>
    <t>Road-150 Red, 62</t>
  </si>
  <si>
    <t>Road-650 Red, 60</t>
  </si>
  <si>
    <t>LL Road Frame - Red, 48</t>
  </si>
  <si>
    <t>ML Road Frame - Red, 52</t>
  </si>
  <si>
    <t>LL Road Frame - Black, 52</t>
  </si>
  <si>
    <t>Road-650 Black, 60</t>
  </si>
  <si>
    <t>Road-450 Red, 60</t>
  </si>
  <si>
    <t>Sport-100 Helmet, Red</t>
  </si>
  <si>
    <t>Mountain Bike Socks, M</t>
  </si>
  <si>
    <t>Socks</t>
  </si>
  <si>
    <t>Road-650 Red, 62</t>
  </si>
  <si>
    <t>Long-Sleeve Logo Jersey, M</t>
  </si>
  <si>
    <t>Mountain-100 Silver, 48</t>
  </si>
  <si>
    <t>Mountain-100 Silver, 42</t>
  </si>
  <si>
    <t>Mountain-100 Silver, 38</t>
  </si>
  <si>
    <t>Num of Orders</t>
  </si>
  <si>
    <t>Total Sales</t>
  </si>
  <si>
    <t>Q4: Using Product Id display Product Category(hint:use vlookup).</t>
  </si>
  <si>
    <t>Lab1</t>
  </si>
  <si>
    <t xml:space="preserve">Q5: Using Order detail Id and Order Id Get Product(Hint:Use Xlookup).  </t>
  </si>
  <si>
    <t>Order ID</t>
  </si>
  <si>
    <t>Order Detail ID</t>
  </si>
  <si>
    <t>Sum Of Total Due</t>
  </si>
  <si>
    <t>Category</t>
  </si>
  <si>
    <t>Day</t>
  </si>
  <si>
    <t>Month</t>
  </si>
  <si>
    <t>Year</t>
  </si>
  <si>
    <t>Date</t>
  </si>
  <si>
    <t>Q1: Total Due for each orderdetail, Sum Of Total Due.</t>
  </si>
  <si>
    <t>Q6:Display the order_date as Day,Month,Year, and Date with this format ( Saturday,Septemper 21,2024)</t>
  </si>
  <si>
    <t>Q2: Number Of Orders for each category(Count If).</t>
  </si>
  <si>
    <t>Q3: Total Sales for each category(SumIF).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</si>
</sst>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14" fontId="2" fillId="0" borderId="0" xfId="0" applyNumberFormat="1" applyFont="1"/>
    <xf numFmtId="164" fontId="2" fillId="0" borderId="0" xfId="1" applyNumberFormat="1" applyFont="1"/>
    <xf numFmtId="0" fontId="0" fillId="3" borderId="0" xfId="0" applyFill="1"/>
    <xf numFmtId="165" fontId="0" fillId="3" borderId="0" xfId="0" applyNumberFormat="1" applyFill="1"/>
    <xf numFmtId="0" fontId="2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14" fontId="0" fillId="0" borderId="1" xfId="0" applyNumberFormat="1" applyBorder="1"/>
    <xf numFmtId="14" fontId="2" fillId="2" borderId="1" xfId="0" applyNumberFormat="1" applyFont="1" applyFill="1" applyBorder="1"/>
    <xf numFmtId="0" fontId="0" fillId="5" borderId="1" xfId="0" applyFill="1" applyBorder="1"/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0" borderId="1" xfId="0" applyNumberFormat="1" applyFont="1" applyBorder="1"/>
    <xf numFmtId="164" fontId="0" fillId="0" borderId="1" xfId="0" applyNumberFormat="1" applyBorder="1"/>
    <xf numFmtId="0" fontId="0" fillId="0" borderId="1" xfId="0" applyNumberFormat="1" applyBorder="1"/>
    <xf numFmtId="165" fontId="0" fillId="0" borderId="1" xfId="0" applyNumberFormat="1" applyBorder="1"/>
  </cellXfs>
  <cellStyles count="2">
    <cellStyle name="Currency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M199" totalsRowShown="0" headerRowDxfId="7" dataDxfId="6" headerRowCellStyle="Currency" dataCellStyle="Currency">
  <autoFilter ref="A4:M199" xr:uid="{00000000-0009-0000-0100-000001000000}"/>
  <tableColumns count="13">
    <tableColumn id="1" xr3:uid="{00000000-0010-0000-0000-000001000000}" name="OrderDetailID"/>
    <tableColumn id="2" xr3:uid="{00000000-0010-0000-0000-000002000000}" name="OrderID"/>
    <tableColumn id="3" xr3:uid="{00000000-0010-0000-0000-000003000000}" name="OrderDate" dataDxfId="5"/>
    <tableColumn id="14" xr3:uid="{00000000-0010-0000-0000-00000E000000}" name="ProductID"/>
    <tableColumn id="15" xr3:uid="{00000000-0010-0000-0000-00000F000000}" name="Product"/>
    <tableColumn id="16" xr3:uid="{00000000-0010-0000-0000-000010000000}" name="ProductSubCategory"/>
    <tableColumn id="17" xr3:uid="{00000000-0010-0000-0000-000011000000}" name="ProductCategory"/>
    <tableColumn id="18" xr3:uid="{00000000-0010-0000-0000-000012000000}" name="OrderQty"/>
    <tableColumn id="19" xr3:uid="{00000000-0010-0000-0000-000013000000}" name="UnitPrice" dataDxfId="4" dataCellStyle="Currency"/>
    <tableColumn id="20" xr3:uid="{00000000-0010-0000-0000-000014000000}" name="LineTotal" dataDxfId="3" dataCellStyle="Currency"/>
    <tableColumn id="21" xr3:uid="{00000000-0010-0000-0000-000015000000}" name="TaxAmt" dataDxfId="2" dataCellStyle="Currency"/>
    <tableColumn id="22" xr3:uid="{00000000-0010-0000-0000-000016000000}" name="Freight" dataDxfId="1" dataCellStyle="Currency"/>
    <tableColumn id="23" xr3:uid="{00000000-0010-0000-0000-000017000000}" name="TotalDue" dataDxfId="0" dataCellStyle="Currency">
      <calculatedColumnFormula>SUM(Table1[[#This Row],[LineTotal]]+Table1[[#This Row],[TaxAmt]]+Table1[[#This Row],[Freight]])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199"/>
  <sheetViews>
    <sheetView tabSelected="1" topLeftCell="J1" workbookViewId="0">
      <selection activeCell="Q17" sqref="Q17"/>
    </sheetView>
  </sheetViews>
  <sheetFormatPr defaultRowHeight="14.4" x14ac:dyDescent="0.3"/>
  <cols>
    <col min="1" max="1" width="15.44140625" customWidth="1"/>
    <col min="2" max="2" width="14.88671875" customWidth="1"/>
    <col min="3" max="3" width="12.44140625" style="1" customWidth="1"/>
    <col min="4" max="4" width="16.44140625" customWidth="1"/>
    <col min="5" max="5" width="31.88671875" customWidth="1"/>
    <col min="6" max="6" width="20" bestFit="1" customWidth="1"/>
    <col min="7" max="7" width="24" customWidth="1"/>
    <col min="8" max="8" width="11.6640625" customWidth="1"/>
    <col min="9" max="9" width="21.109375" customWidth="1"/>
    <col min="10" max="10" width="17.88671875" customWidth="1"/>
    <col min="11" max="11" width="11.44140625" customWidth="1"/>
    <col min="12" max="12" width="11.44140625" style="2" customWidth="1"/>
    <col min="13" max="13" width="11.33203125" style="2" customWidth="1"/>
    <col min="14" max="14" width="17.44140625" style="2" customWidth="1"/>
    <col min="15" max="15" width="9.44140625" style="2" customWidth="1"/>
    <col min="16" max="16" width="11.109375" style="2" customWidth="1"/>
    <col min="17" max="17" width="29.33203125" customWidth="1"/>
    <col min="18" max="18" width="29" customWidth="1"/>
    <col min="19" max="19" width="27.88671875" customWidth="1"/>
    <col min="20" max="20" width="13.6640625" customWidth="1"/>
    <col min="21" max="21" width="32" customWidth="1"/>
  </cols>
  <sheetData>
    <row r="4" spans="1:19" s="3" customFormat="1" x14ac:dyDescent="0.3">
      <c r="A4" s="3" t="s">
        <v>0</v>
      </c>
      <c r="B4" s="3" t="s">
        <v>1</v>
      </c>
      <c r="C4" s="4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Q4" s="10" t="s">
        <v>76</v>
      </c>
      <c r="R4" s="18">
        <f>SUM(Table1[TotalDue])</f>
        <v>338542.26046772947</v>
      </c>
    </row>
    <row r="5" spans="1:19" x14ac:dyDescent="0.3">
      <c r="A5">
        <v>15</v>
      </c>
      <c r="B5">
        <v>43661</v>
      </c>
      <c r="C5" s="1">
        <v>40694</v>
      </c>
      <c r="D5">
        <v>745</v>
      </c>
      <c r="E5" t="s">
        <v>13</v>
      </c>
      <c r="F5" t="s">
        <v>14</v>
      </c>
      <c r="G5" t="s">
        <v>15</v>
      </c>
      <c r="H5">
        <v>1</v>
      </c>
      <c r="I5" s="2">
        <v>809.76</v>
      </c>
      <c r="J5" s="2">
        <v>809.76</v>
      </c>
      <c r="K5" s="2">
        <v>78.034563464949102</v>
      </c>
      <c r="L5" s="2">
        <v>24.385801082796601</v>
      </c>
      <c r="M5" s="2">
        <f>SUM(Table1[[#This Row],[LineTotal]]+Table1[[#This Row],[TaxAmt]]+Table1[[#This Row],[Freight]])</f>
        <v>912.18036454774563</v>
      </c>
      <c r="N5"/>
      <c r="O5"/>
      <c r="P5"/>
      <c r="S5" s="3"/>
    </row>
    <row r="6" spans="1:19" x14ac:dyDescent="0.3">
      <c r="A6">
        <v>16</v>
      </c>
      <c r="B6">
        <v>43661</v>
      </c>
      <c r="C6" s="1">
        <v>40694</v>
      </c>
      <c r="D6">
        <v>743</v>
      </c>
      <c r="E6" t="s">
        <v>16</v>
      </c>
      <c r="F6" t="s">
        <v>14</v>
      </c>
      <c r="G6" t="s">
        <v>15</v>
      </c>
      <c r="H6">
        <v>1</v>
      </c>
      <c r="I6" s="2">
        <v>714.70429999999999</v>
      </c>
      <c r="J6" s="2">
        <v>714.70429999999999</v>
      </c>
      <c r="K6" s="2">
        <v>68.874281338942495</v>
      </c>
      <c r="L6" s="2">
        <v>21.5232129184195</v>
      </c>
      <c r="M6" s="2">
        <f>SUM(Table1[[#This Row],[LineTotal]]+Table1[[#This Row],[TaxAmt]]+Table1[[#This Row],[Freight]])</f>
        <v>805.10179425736203</v>
      </c>
      <c r="N6"/>
      <c r="O6"/>
      <c r="P6"/>
    </row>
    <row r="7" spans="1:19" x14ac:dyDescent="0.3">
      <c r="A7">
        <v>17</v>
      </c>
      <c r="B7">
        <v>43661</v>
      </c>
      <c r="C7" s="1">
        <v>40694</v>
      </c>
      <c r="D7">
        <v>747</v>
      </c>
      <c r="E7" t="s">
        <v>17</v>
      </c>
      <c r="F7" t="s">
        <v>14</v>
      </c>
      <c r="G7" t="s">
        <v>15</v>
      </c>
      <c r="H7">
        <v>2</v>
      </c>
      <c r="I7" s="2">
        <v>714.70429999999999</v>
      </c>
      <c r="J7" s="2">
        <v>1429.4086</v>
      </c>
      <c r="K7" s="2">
        <v>137.748562677884</v>
      </c>
      <c r="L7" s="2">
        <v>43.046425836838999</v>
      </c>
      <c r="M7" s="2">
        <f>SUM(Table1[[#This Row],[LineTotal]]+Table1[[#This Row],[TaxAmt]]+Table1[[#This Row],[Freight]])</f>
        <v>1610.2035885147229</v>
      </c>
      <c r="N7"/>
      <c r="O7"/>
      <c r="P7"/>
      <c r="Q7" s="8" t="s">
        <v>6</v>
      </c>
      <c r="R7" s="8" t="s">
        <v>69</v>
      </c>
      <c r="S7" s="8" t="s">
        <v>70</v>
      </c>
    </row>
    <row r="8" spans="1:19" x14ac:dyDescent="0.3">
      <c r="A8">
        <v>18</v>
      </c>
      <c r="B8">
        <v>43661</v>
      </c>
      <c r="C8" s="1">
        <v>40694</v>
      </c>
      <c r="D8">
        <v>712</v>
      </c>
      <c r="E8" t="s">
        <v>18</v>
      </c>
      <c r="F8" t="s">
        <v>19</v>
      </c>
      <c r="G8" t="s">
        <v>20</v>
      </c>
      <c r="H8">
        <v>4</v>
      </c>
      <c r="I8" s="2">
        <v>5.1864999999999997</v>
      </c>
      <c r="J8" s="2">
        <v>20.745999999999999</v>
      </c>
      <c r="K8" s="2">
        <v>1.9992405819549</v>
      </c>
      <c r="L8" s="2">
        <v>0.6247626818609</v>
      </c>
      <c r="M8" s="2">
        <f>SUM(Table1[[#This Row],[LineTotal]]+Table1[[#This Row],[TaxAmt]]+Table1[[#This Row],[Freight]])</f>
        <v>23.3700032638158</v>
      </c>
      <c r="N8"/>
      <c r="O8"/>
      <c r="P8"/>
      <c r="Q8" s="9" t="s">
        <v>15</v>
      </c>
      <c r="R8" s="9">
        <f>COUNTIF(Table1[ProductCategory],Q8)</f>
        <v>38</v>
      </c>
      <c r="S8" s="19">
        <f>SUMIF(Table1[ProductCategory],Q8,Table1[TotalDue])</f>
        <v>26147.710567059294</v>
      </c>
    </row>
    <row r="9" spans="1:19" x14ac:dyDescent="0.3">
      <c r="A9">
        <v>19</v>
      </c>
      <c r="B9">
        <v>43661</v>
      </c>
      <c r="C9" s="1">
        <v>40694</v>
      </c>
      <c r="D9">
        <v>715</v>
      </c>
      <c r="E9" t="s">
        <v>21</v>
      </c>
      <c r="F9" t="s">
        <v>22</v>
      </c>
      <c r="G9" t="s">
        <v>20</v>
      </c>
      <c r="H9">
        <v>4</v>
      </c>
      <c r="I9" s="2">
        <v>28.840399999999999</v>
      </c>
      <c r="J9" s="2">
        <v>115.3616</v>
      </c>
      <c r="K9" s="2">
        <v>11.117111362154301</v>
      </c>
      <c r="L9" s="2">
        <v>3.4740973006732001</v>
      </c>
      <c r="M9" s="2">
        <f>SUM(Table1[[#This Row],[LineTotal]]+Table1[[#This Row],[TaxAmt]]+Table1[[#This Row],[Freight]])</f>
        <v>129.95280866282749</v>
      </c>
      <c r="N9"/>
      <c r="O9"/>
      <c r="P9"/>
      <c r="Q9" s="9" t="s">
        <v>20</v>
      </c>
      <c r="R9" s="9">
        <f>COUNTIF(Table1[ProductCategory],Q9)</f>
        <v>26</v>
      </c>
      <c r="S9" s="19">
        <f>SUMIF(Table1[ProductCategory],Q9,Table1[TotalDue])</f>
        <v>1433.1260850353419</v>
      </c>
    </row>
    <row r="10" spans="1:19" x14ac:dyDescent="0.3">
      <c r="A10">
        <v>20</v>
      </c>
      <c r="B10">
        <v>43661</v>
      </c>
      <c r="C10" s="1">
        <v>40694</v>
      </c>
      <c r="D10">
        <v>742</v>
      </c>
      <c r="E10" t="s">
        <v>23</v>
      </c>
      <c r="F10" t="s">
        <v>14</v>
      </c>
      <c r="G10" t="s">
        <v>15</v>
      </c>
      <c r="H10">
        <v>2</v>
      </c>
      <c r="I10" s="2">
        <v>722.59490000000005</v>
      </c>
      <c r="J10" s="2">
        <v>1445.1898000000001</v>
      </c>
      <c r="K10" s="2">
        <v>139.269357793663</v>
      </c>
      <c r="L10" s="2">
        <v>43.521674310519899</v>
      </c>
      <c r="M10" s="2">
        <f>SUM(Table1[[#This Row],[LineTotal]]+Table1[[#This Row],[TaxAmt]]+Table1[[#This Row],[Freight]])</f>
        <v>1627.980832104183</v>
      </c>
      <c r="N10"/>
      <c r="O10"/>
      <c r="P10"/>
      <c r="Q10" s="9" t="s">
        <v>26</v>
      </c>
      <c r="R10" s="9">
        <f>COUNTIF(Table1[ProductCategory],Q10)</f>
        <v>111</v>
      </c>
      <c r="S10" s="19">
        <f>SUMIF(Table1[ProductCategory],Q10,Table1[TotalDue])</f>
        <v>309915.72823307384</v>
      </c>
    </row>
    <row r="11" spans="1:19" x14ac:dyDescent="0.3">
      <c r="A11">
        <v>21</v>
      </c>
      <c r="B11">
        <v>43661</v>
      </c>
      <c r="C11" s="1">
        <v>40694</v>
      </c>
      <c r="D11">
        <v>775</v>
      </c>
      <c r="E11" t="s">
        <v>24</v>
      </c>
      <c r="F11" t="s">
        <v>25</v>
      </c>
      <c r="G11" t="s">
        <v>26</v>
      </c>
      <c r="H11">
        <v>3</v>
      </c>
      <c r="I11" s="2">
        <v>2024.9939999999999</v>
      </c>
      <c r="J11" s="2">
        <v>6074.982</v>
      </c>
      <c r="K11" s="2">
        <v>585.43095290879205</v>
      </c>
      <c r="L11" s="2">
        <v>182.94717278399699</v>
      </c>
      <c r="M11" s="2">
        <f>SUM(Table1[[#This Row],[LineTotal]]+Table1[[#This Row],[TaxAmt]]+Table1[[#This Row],[Freight]])</f>
        <v>6843.3601256927896</v>
      </c>
      <c r="N11"/>
      <c r="O11"/>
      <c r="P11"/>
      <c r="Q11" s="9" t="s">
        <v>30</v>
      </c>
      <c r="R11" s="9">
        <f>COUNTIF(Table1[ProductCategory],Q11)</f>
        <v>20</v>
      </c>
      <c r="S11" s="19">
        <f>SUMIF(Table1[ProductCategory],Q11,Table1[TotalDue])</f>
        <v>1045.695582560995</v>
      </c>
    </row>
    <row r="12" spans="1:19" x14ac:dyDescent="0.3">
      <c r="A12">
        <v>22</v>
      </c>
      <c r="B12">
        <v>43661</v>
      </c>
      <c r="C12" s="1">
        <v>40694</v>
      </c>
      <c r="D12">
        <v>778</v>
      </c>
      <c r="E12" t="s">
        <v>27</v>
      </c>
      <c r="F12" t="s">
        <v>25</v>
      </c>
      <c r="G12" t="s">
        <v>26</v>
      </c>
      <c r="H12">
        <v>2</v>
      </c>
      <c r="I12" s="2">
        <v>2024.9939999999999</v>
      </c>
      <c r="J12" s="2">
        <v>4049.9879999999998</v>
      </c>
      <c r="K12" s="2">
        <v>390.28730193919398</v>
      </c>
      <c r="L12" s="2">
        <v>121.964781855998</v>
      </c>
      <c r="M12" s="2">
        <f>SUM(Table1[[#This Row],[LineTotal]]+Table1[[#This Row],[TaxAmt]]+Table1[[#This Row],[Freight]])</f>
        <v>4562.2400837951918</v>
      </c>
      <c r="N12"/>
      <c r="O12"/>
      <c r="P12"/>
    </row>
    <row r="13" spans="1:19" x14ac:dyDescent="0.3">
      <c r="A13">
        <v>23</v>
      </c>
      <c r="B13">
        <v>43661</v>
      </c>
      <c r="C13" s="1">
        <v>40694</v>
      </c>
      <c r="D13">
        <v>711</v>
      </c>
      <c r="E13" t="s">
        <v>28</v>
      </c>
      <c r="F13" t="s">
        <v>29</v>
      </c>
      <c r="G13" t="s">
        <v>30</v>
      </c>
      <c r="H13">
        <v>2</v>
      </c>
      <c r="I13" s="2">
        <v>20.186499999999999</v>
      </c>
      <c r="J13" s="2">
        <v>40.372999999999998</v>
      </c>
      <c r="K13" s="2">
        <v>3.8906459083807001</v>
      </c>
      <c r="L13" s="2">
        <v>1.2158268463690001</v>
      </c>
      <c r="M13" s="2">
        <f>SUM(Table1[[#This Row],[LineTotal]]+Table1[[#This Row],[TaxAmt]]+Table1[[#This Row],[Freight]])</f>
        <v>45.479472754749693</v>
      </c>
      <c r="N13"/>
      <c r="O13"/>
      <c r="P13"/>
    </row>
    <row r="14" spans="1:19" x14ac:dyDescent="0.3">
      <c r="A14">
        <v>24</v>
      </c>
      <c r="B14">
        <v>43661</v>
      </c>
      <c r="C14" s="1">
        <v>40694</v>
      </c>
      <c r="D14">
        <v>741</v>
      </c>
      <c r="E14" t="s">
        <v>31</v>
      </c>
      <c r="F14" t="s">
        <v>14</v>
      </c>
      <c r="G14" t="s">
        <v>15</v>
      </c>
      <c r="H14">
        <v>2</v>
      </c>
      <c r="I14" s="2">
        <v>818.7</v>
      </c>
      <c r="J14" s="2">
        <v>1637.4</v>
      </c>
      <c r="K14" s="2">
        <v>157.79217819786999</v>
      </c>
      <c r="L14" s="2">
        <v>49.310055686834602</v>
      </c>
      <c r="M14" s="2">
        <f>SUM(Table1[[#This Row],[LineTotal]]+Table1[[#This Row],[TaxAmt]]+Table1[[#This Row],[Freight]])</f>
        <v>1844.5022338847048</v>
      </c>
      <c r="N14"/>
      <c r="O14"/>
      <c r="P14"/>
      <c r="Q14" s="8" t="s">
        <v>3</v>
      </c>
      <c r="R14" s="8" t="s">
        <v>77</v>
      </c>
    </row>
    <row r="15" spans="1:19" x14ac:dyDescent="0.3">
      <c r="A15">
        <v>25</v>
      </c>
      <c r="B15">
        <v>43661</v>
      </c>
      <c r="C15" s="1">
        <v>40694</v>
      </c>
      <c r="D15">
        <v>776</v>
      </c>
      <c r="E15" t="s">
        <v>32</v>
      </c>
      <c r="F15" t="s">
        <v>25</v>
      </c>
      <c r="G15" t="s">
        <v>26</v>
      </c>
      <c r="H15">
        <v>4</v>
      </c>
      <c r="I15" s="2">
        <v>2024.9939999999999</v>
      </c>
      <c r="J15" s="2">
        <v>8099.9759999999997</v>
      </c>
      <c r="K15" s="2">
        <v>780.57460387838898</v>
      </c>
      <c r="L15" s="2">
        <v>243.929563711996</v>
      </c>
      <c r="M15" s="2">
        <f>SUM(Table1[[#This Row],[LineTotal]]+Table1[[#This Row],[TaxAmt]]+Table1[[#This Row],[Freight]])</f>
        <v>9124.4801675903836</v>
      </c>
      <c r="N15"/>
      <c r="O15"/>
      <c r="P15"/>
      <c r="Q15" s="11">
        <v>730</v>
      </c>
      <c r="R15" s="11" t="str">
        <f>VLOOKUP(Q15,Table1[[ProductID]:[ProductCategory]],4,0)</f>
        <v>Components</v>
      </c>
    </row>
    <row r="16" spans="1:19" x14ac:dyDescent="0.3">
      <c r="A16">
        <v>26</v>
      </c>
      <c r="B16">
        <v>43661</v>
      </c>
      <c r="C16" s="1">
        <v>40694</v>
      </c>
      <c r="D16">
        <v>773</v>
      </c>
      <c r="E16" t="s">
        <v>33</v>
      </c>
      <c r="F16" t="s">
        <v>25</v>
      </c>
      <c r="G16" t="s">
        <v>26</v>
      </c>
      <c r="H16">
        <v>2</v>
      </c>
      <c r="I16" s="2">
        <v>2039.9939999999999</v>
      </c>
      <c r="J16" s="2">
        <v>4079.9879999999998</v>
      </c>
      <c r="K16" s="2">
        <v>393.17832755659799</v>
      </c>
      <c r="L16" s="2">
        <v>122.868227361436</v>
      </c>
      <c r="M16" s="2">
        <f>SUM(Table1[[#This Row],[LineTotal]]+Table1[[#This Row],[TaxAmt]]+Table1[[#This Row],[Freight]])</f>
        <v>4596.0345549180338</v>
      </c>
      <c r="N16"/>
      <c r="O16"/>
      <c r="P16"/>
    </row>
    <row r="17" spans="1:21" x14ac:dyDescent="0.3">
      <c r="A17">
        <v>27</v>
      </c>
      <c r="B17">
        <v>43661</v>
      </c>
      <c r="C17" s="1">
        <v>40694</v>
      </c>
      <c r="D17">
        <v>716</v>
      </c>
      <c r="E17" t="s">
        <v>34</v>
      </c>
      <c r="F17" t="s">
        <v>22</v>
      </c>
      <c r="G17" t="s">
        <v>20</v>
      </c>
      <c r="H17">
        <v>2</v>
      </c>
      <c r="I17" s="2">
        <v>28.840399999999999</v>
      </c>
      <c r="J17" s="2">
        <v>57.680799999999998</v>
      </c>
      <c r="K17" s="2">
        <v>5.5585556810772001</v>
      </c>
      <c r="L17" s="2">
        <v>1.7370486503366001</v>
      </c>
      <c r="M17" s="2">
        <f>SUM(Table1[[#This Row],[LineTotal]]+Table1[[#This Row],[TaxAmt]]+Table1[[#This Row],[Freight]])</f>
        <v>64.976404331413804</v>
      </c>
      <c r="O17"/>
      <c r="P17"/>
    </row>
    <row r="18" spans="1:21" x14ac:dyDescent="0.3">
      <c r="A18">
        <v>28</v>
      </c>
      <c r="B18">
        <v>43661</v>
      </c>
      <c r="C18" s="1">
        <v>40694</v>
      </c>
      <c r="D18">
        <v>777</v>
      </c>
      <c r="E18" t="s">
        <v>35</v>
      </c>
      <c r="F18" t="s">
        <v>25</v>
      </c>
      <c r="G18" t="s">
        <v>26</v>
      </c>
      <c r="H18">
        <v>2</v>
      </c>
      <c r="I18" s="2">
        <v>2024.9939999999999</v>
      </c>
      <c r="J18" s="2">
        <v>4049.9879999999998</v>
      </c>
      <c r="K18" s="2">
        <v>390.28730193919398</v>
      </c>
      <c r="L18" s="2">
        <v>121.964781855998</v>
      </c>
      <c r="M18" s="2">
        <f>SUM(Table1[[#This Row],[LineTotal]]+Table1[[#This Row],[TaxAmt]]+Table1[[#This Row],[Freight]])</f>
        <v>4562.2400837951918</v>
      </c>
      <c r="N18"/>
      <c r="O18"/>
      <c r="P18"/>
    </row>
    <row r="19" spans="1:21" x14ac:dyDescent="0.3">
      <c r="A19">
        <v>29</v>
      </c>
      <c r="B19">
        <v>43661</v>
      </c>
      <c r="C19" s="1">
        <v>40694</v>
      </c>
      <c r="D19">
        <v>708</v>
      </c>
      <c r="E19" t="s">
        <v>36</v>
      </c>
      <c r="F19" t="s">
        <v>29</v>
      </c>
      <c r="G19" t="s">
        <v>30</v>
      </c>
      <c r="H19">
        <v>5</v>
      </c>
      <c r="I19" s="2">
        <v>20.186499999999999</v>
      </c>
      <c r="J19" s="2">
        <v>100.9325</v>
      </c>
      <c r="K19" s="2">
        <v>9.7266147709518993</v>
      </c>
      <c r="L19" s="2">
        <v>3.0395671159225</v>
      </c>
      <c r="M19" s="2">
        <f>SUM(Table1[[#This Row],[LineTotal]]+Table1[[#This Row],[TaxAmt]]+Table1[[#This Row],[Freight]])</f>
        <v>113.6986818868744</v>
      </c>
      <c r="N19"/>
      <c r="O19"/>
      <c r="P19"/>
      <c r="Q19" s="8" t="s">
        <v>75</v>
      </c>
      <c r="R19" s="8" t="s">
        <v>74</v>
      </c>
      <c r="S19" s="8" t="s">
        <v>4</v>
      </c>
    </row>
    <row r="20" spans="1:21" x14ac:dyDescent="0.3">
      <c r="A20">
        <v>30</v>
      </c>
      <c r="B20">
        <v>43662</v>
      </c>
      <c r="C20" s="1">
        <v>40694</v>
      </c>
      <c r="D20">
        <v>764</v>
      </c>
      <c r="E20" t="s">
        <v>37</v>
      </c>
      <c r="F20" t="s">
        <v>38</v>
      </c>
      <c r="G20" t="s">
        <v>26</v>
      </c>
      <c r="H20">
        <v>3</v>
      </c>
      <c r="I20" s="2">
        <v>419.45890000000003</v>
      </c>
      <c r="J20" s="2">
        <v>1258.3767</v>
      </c>
      <c r="K20" s="2">
        <v>121.12022790012</v>
      </c>
      <c r="L20" s="2">
        <v>37.850069582125002</v>
      </c>
      <c r="M20" s="2">
        <f>SUM(Table1[[#This Row],[LineTotal]]+Table1[[#This Row],[TaxAmt]]+Table1[[#This Row],[Freight]])</f>
        <v>1417.3469974822451</v>
      </c>
      <c r="N20"/>
      <c r="O20"/>
      <c r="P20"/>
      <c r="Q20" s="14">
        <v>19</v>
      </c>
      <c r="R20" s="14">
        <v>43661</v>
      </c>
      <c r="S20" s="9" t="str" cm="1">
        <f t="array" ref="S20">_xlfn.XLOOKUP(Q20&amp;R20,Table1[OrderDetailID]&amp;Table1[OrderID],Table1[Product],"not found")</f>
        <v>Long-Sleeve Logo Jersey, L</v>
      </c>
    </row>
    <row r="21" spans="1:21" x14ac:dyDescent="0.3">
      <c r="A21">
        <v>31</v>
      </c>
      <c r="B21">
        <v>43662</v>
      </c>
      <c r="C21" s="1">
        <v>40694</v>
      </c>
      <c r="D21">
        <v>770</v>
      </c>
      <c r="E21" t="s">
        <v>39</v>
      </c>
      <c r="F21" t="s">
        <v>38</v>
      </c>
      <c r="G21" t="s">
        <v>26</v>
      </c>
      <c r="H21">
        <v>5</v>
      </c>
      <c r="I21" s="2">
        <v>419.45890000000003</v>
      </c>
      <c r="J21" s="2">
        <v>2097.2945</v>
      </c>
      <c r="K21" s="2">
        <v>201.86704650020101</v>
      </c>
      <c r="L21" s="2">
        <v>63.083449303541698</v>
      </c>
      <c r="M21" s="2">
        <f>SUM(Table1[[#This Row],[LineTotal]]+Table1[[#This Row],[TaxAmt]]+Table1[[#This Row],[Freight]])</f>
        <v>2362.2449958037428</v>
      </c>
      <c r="N21"/>
      <c r="O21"/>
      <c r="P21"/>
    </row>
    <row r="22" spans="1:21" x14ac:dyDescent="0.3">
      <c r="A22">
        <v>32</v>
      </c>
      <c r="B22">
        <v>43662</v>
      </c>
      <c r="C22" s="1">
        <v>40694</v>
      </c>
      <c r="D22">
        <v>730</v>
      </c>
      <c r="E22" t="s">
        <v>40</v>
      </c>
      <c r="F22" t="s">
        <v>41</v>
      </c>
      <c r="G22" t="s">
        <v>15</v>
      </c>
      <c r="H22">
        <v>2</v>
      </c>
      <c r="I22" s="2">
        <v>183.93819999999999</v>
      </c>
      <c r="J22" s="2">
        <v>367.87639999999999</v>
      </c>
      <c r="K22" s="2">
        <v>35.4085333963002</v>
      </c>
      <c r="L22" s="2">
        <v>11.0651662078785</v>
      </c>
      <c r="M22" s="2">
        <f>SUM(Table1[[#This Row],[LineTotal]]+Table1[[#This Row],[TaxAmt]]+Table1[[#This Row],[Freight]])</f>
        <v>414.35009960417869</v>
      </c>
      <c r="N22"/>
      <c r="O22"/>
      <c r="P22"/>
    </row>
    <row r="23" spans="1:21" x14ac:dyDescent="0.3">
      <c r="A23">
        <v>33</v>
      </c>
      <c r="B23">
        <v>43662</v>
      </c>
      <c r="C23" s="1">
        <v>40694</v>
      </c>
      <c r="D23">
        <v>754</v>
      </c>
      <c r="E23" t="s">
        <v>42</v>
      </c>
      <c r="F23" t="s">
        <v>38</v>
      </c>
      <c r="G23" t="s">
        <v>26</v>
      </c>
      <c r="H23">
        <v>4</v>
      </c>
      <c r="I23" s="2">
        <v>874.79399999999998</v>
      </c>
      <c r="J23" s="2">
        <v>3499.1759999999999</v>
      </c>
      <c r="K23" s="2">
        <v>336.799779098447</v>
      </c>
      <c r="L23" s="2">
        <v>105.249926417186</v>
      </c>
      <c r="M23" s="2">
        <f>SUM(Table1[[#This Row],[LineTotal]]+Table1[[#This Row],[TaxAmt]]+Table1[[#This Row],[Freight]])</f>
        <v>3941.2257055156329</v>
      </c>
      <c r="N23"/>
      <c r="O23"/>
      <c r="P23"/>
    </row>
    <row r="24" spans="1:21" x14ac:dyDescent="0.3">
      <c r="A24">
        <v>34</v>
      </c>
      <c r="B24">
        <v>43662</v>
      </c>
      <c r="C24" s="1">
        <v>40694</v>
      </c>
      <c r="D24">
        <v>725</v>
      </c>
      <c r="E24" t="s">
        <v>43</v>
      </c>
      <c r="F24" t="s">
        <v>41</v>
      </c>
      <c r="G24" t="s">
        <v>15</v>
      </c>
      <c r="H24">
        <v>3</v>
      </c>
      <c r="I24" s="2">
        <v>183.93819999999999</v>
      </c>
      <c r="J24" s="2">
        <v>551.81460000000004</v>
      </c>
      <c r="K24" s="2">
        <v>53.1128000944503</v>
      </c>
      <c r="L24" s="2">
        <v>16.597749311817701</v>
      </c>
      <c r="M24" s="2">
        <f>SUM(Table1[[#This Row],[LineTotal]]+Table1[[#This Row],[TaxAmt]]+Table1[[#This Row],[Freight]])</f>
        <v>621.52514940626804</v>
      </c>
      <c r="N24"/>
      <c r="O24"/>
      <c r="P24"/>
      <c r="Q24" s="8" t="s">
        <v>2</v>
      </c>
      <c r="R24" s="13" t="s">
        <v>78</v>
      </c>
      <c r="S24" s="13" t="s">
        <v>79</v>
      </c>
      <c r="T24" s="13" t="s">
        <v>80</v>
      </c>
      <c r="U24" s="13" t="s">
        <v>81</v>
      </c>
    </row>
    <row r="25" spans="1:21" x14ac:dyDescent="0.3">
      <c r="A25">
        <v>35</v>
      </c>
      <c r="B25">
        <v>43662</v>
      </c>
      <c r="C25" s="1">
        <v>40694</v>
      </c>
      <c r="D25">
        <v>762</v>
      </c>
      <c r="E25" t="s">
        <v>44</v>
      </c>
      <c r="F25" t="s">
        <v>38</v>
      </c>
      <c r="G25" t="s">
        <v>26</v>
      </c>
      <c r="H25">
        <v>5</v>
      </c>
      <c r="I25" s="2">
        <v>419.45890000000003</v>
      </c>
      <c r="J25" s="2">
        <v>2097.2945</v>
      </c>
      <c r="K25" s="2">
        <v>201.86704650020101</v>
      </c>
      <c r="L25" s="2">
        <v>63.083449303541698</v>
      </c>
      <c r="M25" s="2">
        <f>SUM(Table1[[#This Row],[LineTotal]]+Table1[[#This Row],[TaxAmt]]+Table1[[#This Row],[Freight]])</f>
        <v>2362.2449958037428</v>
      </c>
      <c r="N25"/>
      <c r="O25"/>
      <c r="P25"/>
      <c r="Q25" s="12">
        <v>40694</v>
      </c>
      <c r="R25" s="9">
        <f>DAY(Q25)</f>
        <v>31</v>
      </c>
      <c r="S25" s="20">
        <f>MONTH(Q25)</f>
        <v>5</v>
      </c>
      <c r="T25" s="20">
        <f>YEAR(Q25)</f>
        <v>2011</v>
      </c>
      <c r="U25" s="21">
        <f>Q25</f>
        <v>40694</v>
      </c>
    </row>
    <row r="26" spans="1:21" x14ac:dyDescent="0.3">
      <c r="A26">
        <v>36</v>
      </c>
      <c r="B26">
        <v>43662</v>
      </c>
      <c r="C26" s="1">
        <v>40694</v>
      </c>
      <c r="D26">
        <v>765</v>
      </c>
      <c r="E26" t="s">
        <v>45</v>
      </c>
      <c r="F26" t="s">
        <v>38</v>
      </c>
      <c r="G26" t="s">
        <v>26</v>
      </c>
      <c r="H26">
        <v>3</v>
      </c>
      <c r="I26" s="2">
        <v>419.45890000000003</v>
      </c>
      <c r="J26" s="2">
        <v>1258.3767</v>
      </c>
      <c r="K26" s="2">
        <v>121.12022790012</v>
      </c>
      <c r="L26" s="2">
        <v>37.850069582125002</v>
      </c>
      <c r="M26" s="2">
        <f>SUM(Table1[[#This Row],[LineTotal]]+Table1[[#This Row],[TaxAmt]]+Table1[[#This Row],[Freight]])</f>
        <v>1417.3469974822451</v>
      </c>
      <c r="N26"/>
      <c r="O26"/>
      <c r="P26"/>
      <c r="Q26" s="12">
        <v>40695</v>
      </c>
      <c r="R26" s="9">
        <f t="shared" ref="R26:R52" si="0">DAY(Q26)</f>
        <v>1</v>
      </c>
      <c r="S26" s="20">
        <f t="shared" ref="S26:S52" si="1">MONTH(Q26)</f>
        <v>6</v>
      </c>
      <c r="T26" s="20">
        <f t="shared" ref="T26:T52" si="2">YEAR(Q26)</f>
        <v>2011</v>
      </c>
      <c r="U26" s="21">
        <f t="shared" ref="U26:U52" si="3">Q26</f>
        <v>40695</v>
      </c>
    </row>
    <row r="27" spans="1:21" x14ac:dyDescent="0.3">
      <c r="A27">
        <v>37</v>
      </c>
      <c r="B27">
        <v>43662</v>
      </c>
      <c r="C27" s="1">
        <v>40694</v>
      </c>
      <c r="D27">
        <v>768</v>
      </c>
      <c r="E27" t="s">
        <v>46</v>
      </c>
      <c r="F27" t="s">
        <v>38</v>
      </c>
      <c r="G27" t="s">
        <v>26</v>
      </c>
      <c r="H27">
        <v>2</v>
      </c>
      <c r="I27" s="2">
        <v>419.45890000000003</v>
      </c>
      <c r="J27" s="2">
        <v>838.91780000000006</v>
      </c>
      <c r="K27" s="2">
        <v>80.746818600080502</v>
      </c>
      <c r="L27" s="2">
        <v>25.2333797214167</v>
      </c>
      <c r="M27" s="2">
        <f>SUM(Table1[[#This Row],[LineTotal]]+Table1[[#This Row],[TaxAmt]]+Table1[[#This Row],[Freight]])</f>
        <v>944.8979983214972</v>
      </c>
      <c r="N27"/>
      <c r="O27"/>
      <c r="P27"/>
      <c r="Q27" s="12">
        <v>40696</v>
      </c>
      <c r="R27" s="9">
        <f t="shared" si="0"/>
        <v>2</v>
      </c>
      <c r="S27" s="20">
        <f t="shared" si="1"/>
        <v>6</v>
      </c>
      <c r="T27" s="20">
        <f t="shared" si="2"/>
        <v>2011</v>
      </c>
      <c r="U27" s="21">
        <f t="shared" si="3"/>
        <v>40696</v>
      </c>
    </row>
    <row r="28" spans="1:21" x14ac:dyDescent="0.3">
      <c r="A28">
        <v>38</v>
      </c>
      <c r="B28">
        <v>43662</v>
      </c>
      <c r="C28" s="1">
        <v>40694</v>
      </c>
      <c r="D28">
        <v>753</v>
      </c>
      <c r="E28" t="s">
        <v>47</v>
      </c>
      <c r="F28" t="s">
        <v>38</v>
      </c>
      <c r="G28" t="s">
        <v>26</v>
      </c>
      <c r="H28">
        <v>1</v>
      </c>
      <c r="I28" s="2">
        <v>2146.962</v>
      </c>
      <c r="J28" s="2">
        <v>2146.962</v>
      </c>
      <c r="K28" s="2">
        <v>206.64760141609301</v>
      </c>
      <c r="L28" s="2">
        <v>64.577372650159703</v>
      </c>
      <c r="M28" s="2">
        <f>SUM(Table1[[#This Row],[LineTotal]]+Table1[[#This Row],[TaxAmt]]+Table1[[#This Row],[Freight]])</f>
        <v>2418.1869740662528</v>
      </c>
      <c r="N28"/>
      <c r="O28"/>
      <c r="P28"/>
      <c r="Q28" s="12">
        <v>40697</v>
      </c>
      <c r="R28" s="9">
        <f t="shared" si="0"/>
        <v>3</v>
      </c>
      <c r="S28" s="20">
        <f t="shared" si="1"/>
        <v>6</v>
      </c>
      <c r="T28" s="20">
        <f t="shared" si="2"/>
        <v>2011</v>
      </c>
      <c r="U28" s="21">
        <f t="shared" si="3"/>
        <v>40697</v>
      </c>
    </row>
    <row r="29" spans="1:21" x14ac:dyDescent="0.3">
      <c r="A29">
        <v>39</v>
      </c>
      <c r="B29">
        <v>43662</v>
      </c>
      <c r="C29" s="1">
        <v>40694</v>
      </c>
      <c r="D29">
        <v>756</v>
      </c>
      <c r="E29" t="s">
        <v>48</v>
      </c>
      <c r="F29" t="s">
        <v>38</v>
      </c>
      <c r="G29" t="s">
        <v>26</v>
      </c>
      <c r="H29">
        <v>1</v>
      </c>
      <c r="I29" s="2">
        <v>874.79399999999998</v>
      </c>
      <c r="J29" s="2">
        <v>874.79399999999998</v>
      </c>
      <c r="K29" s="2">
        <v>84.199944774611794</v>
      </c>
      <c r="L29" s="2">
        <v>26.3124816042966</v>
      </c>
      <c r="M29" s="2">
        <f>SUM(Table1[[#This Row],[LineTotal]]+Table1[[#This Row],[TaxAmt]]+Table1[[#This Row],[Freight]])</f>
        <v>985.30642637890844</v>
      </c>
      <c r="N29"/>
      <c r="O29"/>
      <c r="P29"/>
      <c r="Q29" s="12">
        <v>40698</v>
      </c>
      <c r="R29" s="9">
        <f t="shared" si="0"/>
        <v>4</v>
      </c>
      <c r="S29" s="20">
        <f t="shared" si="1"/>
        <v>6</v>
      </c>
      <c r="T29" s="20">
        <f t="shared" si="2"/>
        <v>2011</v>
      </c>
      <c r="U29" s="21">
        <f t="shared" si="3"/>
        <v>40698</v>
      </c>
    </row>
    <row r="30" spans="1:21" x14ac:dyDescent="0.3">
      <c r="A30">
        <v>40</v>
      </c>
      <c r="B30">
        <v>43662</v>
      </c>
      <c r="C30" s="1">
        <v>40694</v>
      </c>
      <c r="D30">
        <v>763</v>
      </c>
      <c r="E30" t="s">
        <v>49</v>
      </c>
      <c r="F30" t="s">
        <v>38</v>
      </c>
      <c r="G30" t="s">
        <v>26</v>
      </c>
      <c r="H30">
        <v>3</v>
      </c>
      <c r="I30" s="2">
        <v>419.45890000000003</v>
      </c>
      <c r="J30" s="2">
        <v>1258.3767</v>
      </c>
      <c r="K30" s="2">
        <v>121.12022790012</v>
      </c>
      <c r="L30" s="2">
        <v>37.850069582125002</v>
      </c>
      <c r="M30" s="2">
        <f>SUM(Table1[[#This Row],[LineTotal]]+Table1[[#This Row],[TaxAmt]]+Table1[[#This Row],[Freight]])</f>
        <v>1417.3469974822451</v>
      </c>
      <c r="N30"/>
      <c r="O30"/>
      <c r="P30"/>
      <c r="Q30" s="12">
        <v>40699</v>
      </c>
      <c r="R30" s="9">
        <f t="shared" si="0"/>
        <v>5</v>
      </c>
      <c r="S30" s="20">
        <f t="shared" si="1"/>
        <v>6</v>
      </c>
      <c r="T30" s="20">
        <f t="shared" si="2"/>
        <v>2011</v>
      </c>
      <c r="U30" s="21">
        <f t="shared" si="3"/>
        <v>40699</v>
      </c>
    </row>
    <row r="31" spans="1:21" x14ac:dyDescent="0.3">
      <c r="A31">
        <v>41</v>
      </c>
      <c r="B31">
        <v>43662</v>
      </c>
      <c r="C31" s="1">
        <v>40694</v>
      </c>
      <c r="D31">
        <v>732</v>
      </c>
      <c r="E31" t="s">
        <v>50</v>
      </c>
      <c r="F31" t="s">
        <v>41</v>
      </c>
      <c r="G31" t="s">
        <v>15</v>
      </c>
      <c r="H31">
        <v>1</v>
      </c>
      <c r="I31" s="2">
        <v>356.89800000000002</v>
      </c>
      <c r="J31" s="2">
        <v>356.89800000000002</v>
      </c>
      <c r="K31" s="2">
        <v>34.351849567063098</v>
      </c>
      <c r="L31" s="2">
        <v>10.734952525520599</v>
      </c>
      <c r="M31" s="2">
        <f>SUM(Table1[[#This Row],[LineTotal]]+Table1[[#This Row],[TaxAmt]]+Table1[[#This Row],[Freight]])</f>
        <v>401.98480209258372</v>
      </c>
      <c r="N31"/>
      <c r="O31"/>
      <c r="P31"/>
      <c r="Q31" s="12">
        <v>40700</v>
      </c>
      <c r="R31" s="9">
        <f t="shared" si="0"/>
        <v>6</v>
      </c>
      <c r="S31" s="20">
        <f t="shared" si="1"/>
        <v>6</v>
      </c>
      <c r="T31" s="20">
        <f t="shared" si="2"/>
        <v>2011</v>
      </c>
      <c r="U31" s="21">
        <f t="shared" si="3"/>
        <v>40700</v>
      </c>
    </row>
    <row r="32" spans="1:21" x14ac:dyDescent="0.3">
      <c r="A32">
        <v>42</v>
      </c>
      <c r="B32">
        <v>43662</v>
      </c>
      <c r="C32" s="1">
        <v>40694</v>
      </c>
      <c r="D32">
        <v>758</v>
      </c>
      <c r="E32" t="s">
        <v>51</v>
      </c>
      <c r="F32" t="s">
        <v>38</v>
      </c>
      <c r="G32" t="s">
        <v>26</v>
      </c>
      <c r="H32">
        <v>6</v>
      </c>
      <c r="I32" s="2">
        <v>874.79399999999998</v>
      </c>
      <c r="J32" s="2">
        <v>5248.7640000000001</v>
      </c>
      <c r="K32" s="2">
        <v>505.19966864767099</v>
      </c>
      <c r="L32" s="2">
        <v>157.87488962577899</v>
      </c>
      <c r="M32" s="2">
        <f>SUM(Table1[[#This Row],[LineTotal]]+Table1[[#This Row],[TaxAmt]]+Table1[[#This Row],[Freight]])</f>
        <v>5911.8385582734509</v>
      </c>
      <c r="N32"/>
      <c r="O32"/>
      <c r="P32"/>
      <c r="Q32" s="12">
        <v>40701</v>
      </c>
      <c r="R32" s="9">
        <f t="shared" si="0"/>
        <v>7</v>
      </c>
      <c r="S32" s="20">
        <f t="shared" si="1"/>
        <v>6</v>
      </c>
      <c r="T32" s="20">
        <f t="shared" si="2"/>
        <v>2011</v>
      </c>
      <c r="U32" s="21">
        <f t="shared" si="3"/>
        <v>40701</v>
      </c>
    </row>
    <row r="33" spans="1:21" x14ac:dyDescent="0.3">
      <c r="A33">
        <v>43</v>
      </c>
      <c r="B33">
        <v>43662</v>
      </c>
      <c r="C33" s="1">
        <v>40694</v>
      </c>
      <c r="D33">
        <v>729</v>
      </c>
      <c r="E33" t="s">
        <v>52</v>
      </c>
      <c r="F33" t="s">
        <v>41</v>
      </c>
      <c r="G33" t="s">
        <v>15</v>
      </c>
      <c r="H33">
        <v>1</v>
      </c>
      <c r="I33" s="2">
        <v>183.93819999999999</v>
      </c>
      <c r="J33" s="2">
        <v>183.93819999999999</v>
      </c>
      <c r="K33" s="2">
        <v>17.7042666981501</v>
      </c>
      <c r="L33" s="2">
        <v>5.5325831039392002</v>
      </c>
      <c r="M33" s="2">
        <f>SUM(Table1[[#This Row],[LineTotal]]+Table1[[#This Row],[TaxAmt]]+Table1[[#This Row],[Freight]])</f>
        <v>207.17504980208929</v>
      </c>
      <c r="N33"/>
      <c r="O33"/>
      <c r="P33"/>
      <c r="Q33" s="12">
        <v>40702</v>
      </c>
      <c r="R33" s="9">
        <f t="shared" si="0"/>
        <v>8</v>
      </c>
      <c r="S33" s="20">
        <f t="shared" si="1"/>
        <v>6</v>
      </c>
      <c r="T33" s="20">
        <f t="shared" si="2"/>
        <v>2011</v>
      </c>
      <c r="U33" s="21">
        <f t="shared" si="3"/>
        <v>40702</v>
      </c>
    </row>
    <row r="34" spans="1:21" x14ac:dyDescent="0.3">
      <c r="A34">
        <v>44</v>
      </c>
      <c r="B34">
        <v>43662</v>
      </c>
      <c r="C34" s="1">
        <v>40694</v>
      </c>
      <c r="D34">
        <v>722</v>
      </c>
      <c r="E34" t="s">
        <v>53</v>
      </c>
      <c r="F34" t="s">
        <v>41</v>
      </c>
      <c r="G34" t="s">
        <v>15</v>
      </c>
      <c r="H34">
        <v>3</v>
      </c>
      <c r="I34" s="2">
        <v>178.58080000000001</v>
      </c>
      <c r="J34" s="2">
        <v>535.74239999999998</v>
      </c>
      <c r="K34" s="2">
        <v>51.565832062654799</v>
      </c>
      <c r="L34" s="2">
        <v>16.114321822785399</v>
      </c>
      <c r="M34" s="2">
        <f>SUM(Table1[[#This Row],[LineTotal]]+Table1[[#This Row],[TaxAmt]]+Table1[[#This Row],[Freight]])</f>
        <v>603.42255388544015</v>
      </c>
      <c r="N34"/>
      <c r="O34"/>
      <c r="P34"/>
      <c r="Q34" s="12">
        <v>40703</v>
      </c>
      <c r="R34" s="9">
        <f t="shared" si="0"/>
        <v>9</v>
      </c>
      <c r="S34" s="20">
        <f t="shared" si="1"/>
        <v>6</v>
      </c>
      <c r="T34" s="20">
        <f t="shared" si="2"/>
        <v>2011</v>
      </c>
      <c r="U34" s="21">
        <f t="shared" si="3"/>
        <v>40703</v>
      </c>
    </row>
    <row r="35" spans="1:21" x14ac:dyDescent="0.3">
      <c r="A35">
        <v>45</v>
      </c>
      <c r="B35">
        <v>43662</v>
      </c>
      <c r="C35" s="1">
        <v>40694</v>
      </c>
      <c r="D35">
        <v>749</v>
      </c>
      <c r="E35" t="s">
        <v>54</v>
      </c>
      <c r="F35" t="s">
        <v>38</v>
      </c>
      <c r="G35" t="s">
        <v>26</v>
      </c>
      <c r="H35">
        <v>1</v>
      </c>
      <c r="I35" s="2">
        <v>2146.962</v>
      </c>
      <c r="J35" s="2">
        <v>2146.962</v>
      </c>
      <c r="K35" s="2">
        <v>206.64760141609301</v>
      </c>
      <c r="L35" s="2">
        <v>64.577372650159703</v>
      </c>
      <c r="M35" s="2">
        <f>SUM(Table1[[#This Row],[LineTotal]]+Table1[[#This Row],[TaxAmt]]+Table1[[#This Row],[Freight]])</f>
        <v>2418.1869740662528</v>
      </c>
      <c r="N35"/>
      <c r="O35"/>
      <c r="P35"/>
      <c r="Q35" s="12">
        <v>40704</v>
      </c>
      <c r="R35" s="9">
        <f t="shared" si="0"/>
        <v>10</v>
      </c>
      <c r="S35" s="20">
        <f t="shared" si="1"/>
        <v>6</v>
      </c>
      <c r="T35" s="20">
        <f t="shared" si="2"/>
        <v>2011</v>
      </c>
      <c r="U35" s="21">
        <f t="shared" si="3"/>
        <v>40704</v>
      </c>
    </row>
    <row r="36" spans="1:21" x14ac:dyDescent="0.3">
      <c r="A36">
        <v>46</v>
      </c>
      <c r="B36">
        <v>43662</v>
      </c>
      <c r="C36" s="1">
        <v>40694</v>
      </c>
      <c r="D36">
        <v>760</v>
      </c>
      <c r="E36" t="s">
        <v>55</v>
      </c>
      <c r="F36" t="s">
        <v>38</v>
      </c>
      <c r="G36" t="s">
        <v>26</v>
      </c>
      <c r="H36">
        <v>3</v>
      </c>
      <c r="I36" s="2">
        <v>419.45890000000003</v>
      </c>
      <c r="J36" s="2">
        <v>1258.3767</v>
      </c>
      <c r="K36" s="2">
        <v>121.12022790012</v>
      </c>
      <c r="L36" s="2">
        <v>37.850069582125002</v>
      </c>
      <c r="M36" s="2">
        <f>SUM(Table1[[#This Row],[LineTotal]]+Table1[[#This Row],[TaxAmt]]+Table1[[#This Row],[Freight]])</f>
        <v>1417.3469974822451</v>
      </c>
      <c r="N36"/>
      <c r="O36"/>
      <c r="P36"/>
      <c r="Q36" s="12">
        <v>40705</v>
      </c>
      <c r="R36" s="9">
        <f t="shared" si="0"/>
        <v>11</v>
      </c>
      <c r="S36" s="20">
        <f t="shared" si="1"/>
        <v>6</v>
      </c>
      <c r="T36" s="20">
        <f t="shared" si="2"/>
        <v>2011</v>
      </c>
      <c r="U36" s="21">
        <f t="shared" si="3"/>
        <v>40705</v>
      </c>
    </row>
    <row r="37" spans="1:21" x14ac:dyDescent="0.3">
      <c r="A37">
        <v>47</v>
      </c>
      <c r="B37">
        <v>43662</v>
      </c>
      <c r="C37" s="1">
        <v>40694</v>
      </c>
      <c r="D37">
        <v>726</v>
      </c>
      <c r="E37" t="s">
        <v>56</v>
      </c>
      <c r="F37" t="s">
        <v>41</v>
      </c>
      <c r="G37" t="s">
        <v>15</v>
      </c>
      <c r="H37">
        <v>1</v>
      </c>
      <c r="I37" s="2">
        <v>183.93819999999999</v>
      </c>
      <c r="J37" s="2">
        <v>183.93819999999999</v>
      </c>
      <c r="K37" s="2">
        <v>17.7042666981501</v>
      </c>
      <c r="L37" s="2">
        <v>5.5325831039392002</v>
      </c>
      <c r="M37" s="2">
        <f>SUM(Table1[[#This Row],[LineTotal]]+Table1[[#This Row],[TaxAmt]]+Table1[[#This Row],[Freight]])</f>
        <v>207.17504980208929</v>
      </c>
      <c r="N37"/>
      <c r="O37"/>
      <c r="P37"/>
      <c r="Q37" s="12">
        <v>40706</v>
      </c>
      <c r="R37" s="9">
        <f t="shared" si="0"/>
        <v>12</v>
      </c>
      <c r="S37" s="20">
        <f t="shared" si="1"/>
        <v>6</v>
      </c>
      <c r="T37" s="20">
        <f t="shared" si="2"/>
        <v>2011</v>
      </c>
      <c r="U37" s="21">
        <f t="shared" si="3"/>
        <v>40706</v>
      </c>
    </row>
    <row r="38" spans="1:21" x14ac:dyDescent="0.3">
      <c r="A38">
        <v>48</v>
      </c>
      <c r="B38">
        <v>43662</v>
      </c>
      <c r="C38" s="1">
        <v>40694</v>
      </c>
      <c r="D38">
        <v>733</v>
      </c>
      <c r="E38" t="s">
        <v>57</v>
      </c>
      <c r="F38" t="s">
        <v>41</v>
      </c>
      <c r="G38" t="s">
        <v>15</v>
      </c>
      <c r="H38">
        <v>1</v>
      </c>
      <c r="I38" s="2">
        <v>356.89800000000002</v>
      </c>
      <c r="J38" s="2">
        <v>356.89800000000002</v>
      </c>
      <c r="K38" s="2">
        <v>34.351849567063098</v>
      </c>
      <c r="L38" s="2">
        <v>10.734952525520599</v>
      </c>
      <c r="M38" s="2">
        <f>SUM(Table1[[#This Row],[LineTotal]]+Table1[[#This Row],[TaxAmt]]+Table1[[#This Row],[Freight]])</f>
        <v>401.98480209258372</v>
      </c>
      <c r="N38"/>
      <c r="O38"/>
      <c r="P38"/>
      <c r="Q38" s="12">
        <v>40707</v>
      </c>
      <c r="R38" s="9">
        <f t="shared" si="0"/>
        <v>13</v>
      </c>
      <c r="S38" s="20">
        <f t="shared" si="1"/>
        <v>6</v>
      </c>
      <c r="T38" s="20">
        <f t="shared" si="2"/>
        <v>2011</v>
      </c>
      <c r="U38" s="21">
        <f t="shared" si="3"/>
        <v>40707</v>
      </c>
    </row>
    <row r="39" spans="1:21" x14ac:dyDescent="0.3">
      <c r="A39">
        <v>49</v>
      </c>
      <c r="B39">
        <v>43662</v>
      </c>
      <c r="C39" s="1">
        <v>40694</v>
      </c>
      <c r="D39">
        <v>738</v>
      </c>
      <c r="E39" t="s">
        <v>58</v>
      </c>
      <c r="F39" t="s">
        <v>41</v>
      </c>
      <c r="G39" t="s">
        <v>15</v>
      </c>
      <c r="H39">
        <v>1</v>
      </c>
      <c r="I39" s="2">
        <v>178.58080000000001</v>
      </c>
      <c r="J39" s="2">
        <v>178.58080000000001</v>
      </c>
      <c r="K39" s="2">
        <v>17.188610687551598</v>
      </c>
      <c r="L39" s="2">
        <v>5.3714406075951002</v>
      </c>
      <c r="M39" s="2">
        <f>SUM(Table1[[#This Row],[LineTotal]]+Table1[[#This Row],[TaxAmt]]+Table1[[#This Row],[Freight]])</f>
        <v>201.14085129514672</v>
      </c>
      <c r="N39"/>
      <c r="O39"/>
      <c r="P39"/>
      <c r="Q39" s="12">
        <v>40708</v>
      </c>
      <c r="R39" s="9">
        <f t="shared" si="0"/>
        <v>14</v>
      </c>
      <c r="S39" s="20">
        <f t="shared" si="1"/>
        <v>6</v>
      </c>
      <c r="T39" s="20">
        <f t="shared" si="2"/>
        <v>2011</v>
      </c>
      <c r="U39" s="21">
        <f t="shared" si="3"/>
        <v>40708</v>
      </c>
    </row>
    <row r="40" spans="1:21" x14ac:dyDescent="0.3">
      <c r="A40">
        <v>50</v>
      </c>
      <c r="B40">
        <v>43662</v>
      </c>
      <c r="C40" s="1">
        <v>40694</v>
      </c>
      <c r="D40">
        <v>766</v>
      </c>
      <c r="E40" t="s">
        <v>59</v>
      </c>
      <c r="F40" t="s">
        <v>38</v>
      </c>
      <c r="G40" t="s">
        <v>26</v>
      </c>
      <c r="H40">
        <v>3</v>
      </c>
      <c r="I40" s="2">
        <v>419.45890000000003</v>
      </c>
      <c r="J40" s="2">
        <v>1258.3767</v>
      </c>
      <c r="K40" s="2">
        <v>121.12022790012</v>
      </c>
      <c r="L40" s="2">
        <v>37.850069582125002</v>
      </c>
      <c r="M40" s="2">
        <f>SUM(Table1[[#This Row],[LineTotal]]+Table1[[#This Row],[TaxAmt]]+Table1[[#This Row],[Freight]])</f>
        <v>1417.3469974822451</v>
      </c>
      <c r="N40"/>
      <c r="O40"/>
      <c r="P40"/>
      <c r="Q40" s="12">
        <v>40709</v>
      </c>
      <c r="R40" s="9">
        <f t="shared" si="0"/>
        <v>15</v>
      </c>
      <c r="S40" s="20">
        <f t="shared" si="1"/>
        <v>6</v>
      </c>
      <c r="T40" s="20">
        <f t="shared" si="2"/>
        <v>2011</v>
      </c>
      <c r="U40" s="21">
        <f t="shared" si="3"/>
        <v>40709</v>
      </c>
    </row>
    <row r="41" spans="1:21" x14ac:dyDescent="0.3">
      <c r="A41">
        <v>51</v>
      </c>
      <c r="B41">
        <v>43662</v>
      </c>
      <c r="C41" s="1">
        <v>40694</v>
      </c>
      <c r="D41">
        <v>755</v>
      </c>
      <c r="E41" t="s">
        <v>60</v>
      </c>
      <c r="F41" t="s">
        <v>38</v>
      </c>
      <c r="G41" t="s">
        <v>26</v>
      </c>
      <c r="H41">
        <v>1</v>
      </c>
      <c r="I41" s="2">
        <v>874.79399999999998</v>
      </c>
      <c r="J41" s="2">
        <v>874.79399999999998</v>
      </c>
      <c r="K41" s="2">
        <v>84.199944774611794</v>
      </c>
      <c r="L41" s="2">
        <v>26.3124816042966</v>
      </c>
      <c r="M41" s="2">
        <f>SUM(Table1[[#This Row],[LineTotal]]+Table1[[#This Row],[TaxAmt]]+Table1[[#This Row],[Freight]])</f>
        <v>985.30642637890844</v>
      </c>
      <c r="N41"/>
      <c r="O41"/>
      <c r="P41"/>
      <c r="Q41" s="12">
        <v>40710</v>
      </c>
      <c r="R41" s="9">
        <f>DAY(Q41)</f>
        <v>16</v>
      </c>
      <c r="S41" s="20">
        <f t="shared" si="1"/>
        <v>6</v>
      </c>
      <c r="T41" s="20">
        <f t="shared" si="2"/>
        <v>2011</v>
      </c>
      <c r="U41" s="21">
        <f t="shared" si="3"/>
        <v>40710</v>
      </c>
    </row>
    <row r="42" spans="1:21" x14ac:dyDescent="0.3">
      <c r="A42">
        <v>61</v>
      </c>
      <c r="B42">
        <v>43665</v>
      </c>
      <c r="C42" s="1">
        <v>40694</v>
      </c>
      <c r="D42">
        <v>711</v>
      </c>
      <c r="E42" t="s">
        <v>28</v>
      </c>
      <c r="F42" t="s">
        <v>29</v>
      </c>
      <c r="G42" t="s">
        <v>30</v>
      </c>
      <c r="H42">
        <v>2</v>
      </c>
      <c r="I42" s="2">
        <v>20.186499999999999</v>
      </c>
      <c r="J42" s="2">
        <v>40.372999999999998</v>
      </c>
      <c r="K42" s="2">
        <v>3.8703978114039002</v>
      </c>
      <c r="L42" s="2">
        <v>1.2094993336444</v>
      </c>
      <c r="M42" s="2">
        <f>SUM(Table1[[#This Row],[LineTotal]]+Table1[[#This Row],[TaxAmt]]+Table1[[#This Row],[Freight]])</f>
        <v>45.452897145048297</v>
      </c>
      <c r="N42"/>
      <c r="O42"/>
      <c r="P42"/>
      <c r="Q42" s="12">
        <v>40711</v>
      </c>
      <c r="R42" s="9">
        <f t="shared" si="0"/>
        <v>17</v>
      </c>
      <c r="S42" s="20">
        <f t="shared" si="1"/>
        <v>6</v>
      </c>
      <c r="T42" s="20">
        <f t="shared" si="2"/>
        <v>2011</v>
      </c>
      <c r="U42" s="21">
        <f t="shared" si="3"/>
        <v>40711</v>
      </c>
    </row>
    <row r="43" spans="1:21" x14ac:dyDescent="0.3">
      <c r="A43">
        <v>62</v>
      </c>
      <c r="B43">
        <v>43665</v>
      </c>
      <c r="C43" s="1">
        <v>40694</v>
      </c>
      <c r="D43">
        <v>773</v>
      </c>
      <c r="E43" t="s">
        <v>33</v>
      </c>
      <c r="F43" t="s">
        <v>25</v>
      </c>
      <c r="G43" t="s">
        <v>26</v>
      </c>
      <c r="H43">
        <v>1</v>
      </c>
      <c r="I43" s="2">
        <v>2039.9939999999999</v>
      </c>
      <c r="J43" s="2">
        <v>2039.9939999999999</v>
      </c>
      <c r="K43" s="2">
        <v>195.566054364971</v>
      </c>
      <c r="L43" s="2">
        <v>61.1143928773811</v>
      </c>
      <c r="M43" s="2">
        <f>SUM(Table1[[#This Row],[LineTotal]]+Table1[[#This Row],[TaxAmt]]+Table1[[#This Row],[Freight]])</f>
        <v>2296.674447242352</v>
      </c>
      <c r="N43"/>
      <c r="O43"/>
      <c r="P43"/>
      <c r="Q43" s="12">
        <v>40712</v>
      </c>
      <c r="R43" s="9">
        <f t="shared" si="0"/>
        <v>18</v>
      </c>
      <c r="S43" s="20">
        <f t="shared" si="1"/>
        <v>6</v>
      </c>
      <c r="T43" s="20">
        <f t="shared" si="2"/>
        <v>2011</v>
      </c>
      <c r="U43" s="21">
        <f t="shared" si="3"/>
        <v>40712</v>
      </c>
    </row>
    <row r="44" spans="1:21" x14ac:dyDescent="0.3">
      <c r="A44">
        <v>63</v>
      </c>
      <c r="B44">
        <v>43665</v>
      </c>
      <c r="C44" s="1">
        <v>40694</v>
      </c>
      <c r="D44">
        <v>707</v>
      </c>
      <c r="E44" t="s">
        <v>61</v>
      </c>
      <c r="F44" t="s">
        <v>29</v>
      </c>
      <c r="G44" t="s">
        <v>30</v>
      </c>
      <c r="H44">
        <v>1</v>
      </c>
      <c r="I44" s="2">
        <v>20.186499999999999</v>
      </c>
      <c r="J44" s="2">
        <v>20.186499999999999</v>
      </c>
      <c r="K44" s="2">
        <v>1.9351989057018999</v>
      </c>
      <c r="L44" s="2">
        <v>0.60474966682219999</v>
      </c>
      <c r="M44" s="2">
        <f>SUM(Table1[[#This Row],[LineTotal]]+Table1[[#This Row],[TaxAmt]]+Table1[[#This Row],[Freight]])</f>
        <v>22.726448572524099</v>
      </c>
      <c r="N44"/>
      <c r="O44"/>
      <c r="P44"/>
      <c r="Q44" s="12">
        <v>40713</v>
      </c>
      <c r="R44" s="9">
        <f t="shared" si="0"/>
        <v>19</v>
      </c>
      <c r="S44" s="20">
        <f t="shared" si="1"/>
        <v>6</v>
      </c>
      <c r="T44" s="20">
        <f t="shared" si="2"/>
        <v>2011</v>
      </c>
      <c r="U44" s="21">
        <f t="shared" si="3"/>
        <v>40713</v>
      </c>
    </row>
    <row r="45" spans="1:21" x14ac:dyDescent="0.3">
      <c r="A45">
        <v>64</v>
      </c>
      <c r="B45">
        <v>43665</v>
      </c>
      <c r="C45" s="1">
        <v>40694</v>
      </c>
      <c r="D45">
        <v>715</v>
      </c>
      <c r="E45" t="s">
        <v>21</v>
      </c>
      <c r="F45" t="s">
        <v>22</v>
      </c>
      <c r="G45" t="s">
        <v>20</v>
      </c>
      <c r="H45">
        <v>2</v>
      </c>
      <c r="I45" s="2">
        <v>28.840399999999999</v>
      </c>
      <c r="J45" s="2">
        <v>57.680799999999998</v>
      </c>
      <c r="K45" s="2">
        <v>5.5296272776365996</v>
      </c>
      <c r="L45" s="2">
        <v>1.7280085493788999</v>
      </c>
      <c r="M45" s="2">
        <f>SUM(Table1[[#This Row],[LineTotal]]+Table1[[#This Row],[TaxAmt]]+Table1[[#This Row],[Freight]])</f>
        <v>64.938435827015496</v>
      </c>
      <c r="N45"/>
      <c r="O45"/>
      <c r="P45"/>
      <c r="Q45" s="12">
        <v>40714</v>
      </c>
      <c r="R45" s="9">
        <f t="shared" si="0"/>
        <v>20</v>
      </c>
      <c r="S45" s="20">
        <f t="shared" si="1"/>
        <v>6</v>
      </c>
      <c r="T45" s="20">
        <f t="shared" si="2"/>
        <v>2011</v>
      </c>
      <c r="U45" s="21">
        <f t="shared" si="3"/>
        <v>40714</v>
      </c>
    </row>
    <row r="46" spans="1:21" x14ac:dyDescent="0.3">
      <c r="A46">
        <v>65</v>
      </c>
      <c r="B46">
        <v>43665</v>
      </c>
      <c r="C46" s="1">
        <v>40694</v>
      </c>
      <c r="D46">
        <v>777</v>
      </c>
      <c r="E46" t="s">
        <v>35</v>
      </c>
      <c r="F46" t="s">
        <v>25</v>
      </c>
      <c r="G46" t="s">
        <v>26</v>
      </c>
      <c r="H46">
        <v>2</v>
      </c>
      <c r="I46" s="2">
        <v>2024.9939999999999</v>
      </c>
      <c r="J46" s="2">
        <v>4049.9879999999998</v>
      </c>
      <c r="K46" s="2">
        <v>388.25612888345802</v>
      </c>
      <c r="L46" s="2">
        <v>121.33004203967199</v>
      </c>
      <c r="M46" s="2">
        <f>SUM(Table1[[#This Row],[LineTotal]]+Table1[[#This Row],[TaxAmt]]+Table1[[#This Row],[Freight]])</f>
        <v>4559.5741709231297</v>
      </c>
      <c r="N46"/>
      <c r="O46"/>
      <c r="P46"/>
      <c r="Q46" s="12">
        <v>40715</v>
      </c>
      <c r="R46" s="9">
        <f t="shared" si="0"/>
        <v>21</v>
      </c>
      <c r="S46" s="20">
        <f t="shared" si="1"/>
        <v>6</v>
      </c>
      <c r="T46" s="20">
        <f t="shared" si="2"/>
        <v>2011</v>
      </c>
      <c r="U46" s="21">
        <f t="shared" si="3"/>
        <v>40715</v>
      </c>
    </row>
    <row r="47" spans="1:21" x14ac:dyDescent="0.3">
      <c r="A47">
        <v>66</v>
      </c>
      <c r="B47">
        <v>43665</v>
      </c>
      <c r="C47" s="1">
        <v>40694</v>
      </c>
      <c r="D47">
        <v>712</v>
      </c>
      <c r="E47" t="s">
        <v>18</v>
      </c>
      <c r="F47" t="s">
        <v>19</v>
      </c>
      <c r="G47" t="s">
        <v>20</v>
      </c>
      <c r="H47">
        <v>2</v>
      </c>
      <c r="I47" s="2">
        <v>5.1864999999999997</v>
      </c>
      <c r="J47" s="2">
        <v>10.372999999999999</v>
      </c>
      <c r="K47" s="2">
        <v>0.99441796491940004</v>
      </c>
      <c r="L47" s="2">
        <v>0.31075561855430001</v>
      </c>
      <c r="M47" s="2">
        <f>SUM(Table1[[#This Row],[LineTotal]]+Table1[[#This Row],[TaxAmt]]+Table1[[#This Row],[Freight]])</f>
        <v>11.678173583473699</v>
      </c>
      <c r="N47"/>
      <c r="O47"/>
      <c r="P47"/>
      <c r="Q47" s="12">
        <v>40716</v>
      </c>
      <c r="R47" s="9">
        <f t="shared" si="0"/>
        <v>22</v>
      </c>
      <c r="S47" s="20">
        <f t="shared" si="1"/>
        <v>6</v>
      </c>
      <c r="T47" s="20">
        <f t="shared" si="2"/>
        <v>2011</v>
      </c>
      <c r="U47" s="21">
        <f t="shared" si="3"/>
        <v>40716</v>
      </c>
    </row>
    <row r="48" spans="1:21" x14ac:dyDescent="0.3">
      <c r="A48">
        <v>67</v>
      </c>
      <c r="B48">
        <v>43665</v>
      </c>
      <c r="C48" s="1">
        <v>40694</v>
      </c>
      <c r="D48">
        <v>775</v>
      </c>
      <c r="E48" t="s">
        <v>24</v>
      </c>
      <c r="F48" t="s">
        <v>25</v>
      </c>
      <c r="G48" t="s">
        <v>26</v>
      </c>
      <c r="H48">
        <v>2</v>
      </c>
      <c r="I48" s="2">
        <v>2024.9939999999999</v>
      </c>
      <c r="J48" s="2">
        <v>4049.9879999999998</v>
      </c>
      <c r="K48" s="2">
        <v>388.25612888345802</v>
      </c>
      <c r="L48" s="2">
        <v>121.33004203967199</v>
      </c>
      <c r="M48" s="2">
        <f>SUM(Table1[[#This Row],[LineTotal]]+Table1[[#This Row],[TaxAmt]]+Table1[[#This Row],[Freight]])</f>
        <v>4559.5741709231297</v>
      </c>
      <c r="N48"/>
      <c r="O48"/>
      <c r="P48"/>
      <c r="Q48" s="12">
        <v>40717</v>
      </c>
      <c r="R48" s="9">
        <f t="shared" si="0"/>
        <v>23</v>
      </c>
      <c r="S48" s="20">
        <f t="shared" si="1"/>
        <v>6</v>
      </c>
      <c r="T48" s="20">
        <f t="shared" si="2"/>
        <v>2011</v>
      </c>
      <c r="U48" s="21">
        <f t="shared" si="3"/>
        <v>40717</v>
      </c>
    </row>
    <row r="49" spans="1:21" x14ac:dyDescent="0.3">
      <c r="A49">
        <v>68</v>
      </c>
      <c r="B49">
        <v>43665</v>
      </c>
      <c r="C49" s="1">
        <v>40694</v>
      </c>
      <c r="D49">
        <v>778</v>
      </c>
      <c r="E49" t="s">
        <v>27</v>
      </c>
      <c r="F49" t="s">
        <v>25</v>
      </c>
      <c r="G49" t="s">
        <v>26</v>
      </c>
      <c r="H49">
        <v>1</v>
      </c>
      <c r="I49" s="2">
        <v>2024.9939999999999</v>
      </c>
      <c r="J49" s="2">
        <v>2024.9939999999999</v>
      </c>
      <c r="K49" s="2">
        <v>194.12806444172901</v>
      </c>
      <c r="L49" s="2">
        <v>60.665021019836097</v>
      </c>
      <c r="M49" s="2">
        <f>SUM(Table1[[#This Row],[LineTotal]]+Table1[[#This Row],[TaxAmt]]+Table1[[#This Row],[Freight]])</f>
        <v>2279.7870854615649</v>
      </c>
      <c r="N49"/>
      <c r="O49"/>
      <c r="P49"/>
      <c r="Q49" s="12">
        <v>40718</v>
      </c>
      <c r="R49" s="9">
        <f t="shared" si="0"/>
        <v>24</v>
      </c>
      <c r="S49" s="20">
        <f t="shared" si="1"/>
        <v>6</v>
      </c>
      <c r="T49" s="20">
        <f t="shared" si="2"/>
        <v>2011</v>
      </c>
      <c r="U49" s="21">
        <f t="shared" si="3"/>
        <v>40718</v>
      </c>
    </row>
    <row r="50" spans="1:21" x14ac:dyDescent="0.3">
      <c r="A50">
        <v>69</v>
      </c>
      <c r="B50">
        <v>43665</v>
      </c>
      <c r="C50" s="1">
        <v>40694</v>
      </c>
      <c r="D50">
        <v>709</v>
      </c>
      <c r="E50" t="s">
        <v>62</v>
      </c>
      <c r="F50" t="s">
        <v>63</v>
      </c>
      <c r="G50" t="s">
        <v>20</v>
      </c>
      <c r="H50">
        <v>6</v>
      </c>
      <c r="I50" s="2">
        <v>5.7</v>
      </c>
      <c r="J50" s="2">
        <v>34.200000000000003</v>
      </c>
      <c r="K50" s="2">
        <v>3.2786170249922</v>
      </c>
      <c r="L50" s="2">
        <v>1.0245678352026999</v>
      </c>
      <c r="M50" s="2">
        <f>SUM(Table1[[#This Row],[LineTotal]]+Table1[[#This Row],[TaxAmt]]+Table1[[#This Row],[Freight]])</f>
        <v>38.503184860194906</v>
      </c>
      <c r="N50"/>
      <c r="O50"/>
      <c r="P50"/>
      <c r="Q50" s="12">
        <v>40719</v>
      </c>
      <c r="R50" s="9">
        <f t="shared" si="0"/>
        <v>25</v>
      </c>
      <c r="S50" s="20">
        <f t="shared" si="1"/>
        <v>6</v>
      </c>
      <c r="T50" s="20">
        <f t="shared" si="2"/>
        <v>2011</v>
      </c>
      <c r="U50" s="21">
        <f t="shared" si="3"/>
        <v>40719</v>
      </c>
    </row>
    <row r="51" spans="1:21" x14ac:dyDescent="0.3">
      <c r="A51">
        <v>70</v>
      </c>
      <c r="B51">
        <v>43665</v>
      </c>
      <c r="C51" s="1">
        <v>40694</v>
      </c>
      <c r="D51">
        <v>776</v>
      </c>
      <c r="E51" t="s">
        <v>32</v>
      </c>
      <c r="F51" t="s">
        <v>25</v>
      </c>
      <c r="G51" t="s">
        <v>26</v>
      </c>
      <c r="H51">
        <v>1</v>
      </c>
      <c r="I51" s="2">
        <v>2024.9939999999999</v>
      </c>
      <c r="J51" s="2">
        <v>2024.9939999999999</v>
      </c>
      <c r="K51" s="2">
        <v>194.12806444172901</v>
      </c>
      <c r="L51" s="2">
        <v>60.665021019836097</v>
      </c>
      <c r="M51" s="2">
        <f>SUM(Table1[[#This Row],[LineTotal]]+Table1[[#This Row],[TaxAmt]]+Table1[[#This Row],[Freight]])</f>
        <v>2279.7870854615649</v>
      </c>
      <c r="N51"/>
      <c r="O51"/>
      <c r="P51"/>
      <c r="Q51" s="12">
        <v>40720</v>
      </c>
      <c r="R51" s="9">
        <f t="shared" si="0"/>
        <v>26</v>
      </c>
      <c r="S51" s="20">
        <f t="shared" si="1"/>
        <v>6</v>
      </c>
      <c r="T51" s="20">
        <f t="shared" si="2"/>
        <v>2011</v>
      </c>
      <c r="U51" s="21">
        <f t="shared" si="3"/>
        <v>40720</v>
      </c>
    </row>
    <row r="52" spans="1:21" x14ac:dyDescent="0.3">
      <c r="A52">
        <v>81</v>
      </c>
      <c r="B52">
        <v>43668</v>
      </c>
      <c r="C52" s="1">
        <v>40694</v>
      </c>
      <c r="D52">
        <v>756</v>
      </c>
      <c r="E52" t="s">
        <v>48</v>
      </c>
      <c r="F52" t="s">
        <v>38</v>
      </c>
      <c r="G52" t="s">
        <v>26</v>
      </c>
      <c r="H52">
        <v>3</v>
      </c>
      <c r="I52" s="2">
        <v>874.79399999999998</v>
      </c>
      <c r="J52" s="2">
        <v>2624.3820000000001</v>
      </c>
      <c r="K52" s="2">
        <v>252.753041507837</v>
      </c>
      <c r="L52" s="2">
        <v>78.985326383858705</v>
      </c>
      <c r="M52" s="2">
        <f>SUM(Table1[[#This Row],[LineTotal]]+Table1[[#This Row],[TaxAmt]]+Table1[[#This Row],[Freight]])</f>
        <v>2956.1203678916954</v>
      </c>
      <c r="N52"/>
      <c r="O52"/>
      <c r="P52"/>
      <c r="Q52" s="12">
        <v>40721</v>
      </c>
      <c r="R52" s="9">
        <f t="shared" si="0"/>
        <v>27</v>
      </c>
      <c r="S52" s="20">
        <f t="shared" si="1"/>
        <v>6</v>
      </c>
      <c r="T52" s="20">
        <f t="shared" si="2"/>
        <v>2011</v>
      </c>
      <c r="U52" s="21">
        <f t="shared" si="3"/>
        <v>40721</v>
      </c>
    </row>
    <row r="53" spans="1:21" x14ac:dyDescent="0.3">
      <c r="A53">
        <v>82</v>
      </c>
      <c r="B53">
        <v>43668</v>
      </c>
      <c r="C53" s="1">
        <v>40694</v>
      </c>
      <c r="D53">
        <v>753</v>
      </c>
      <c r="E53" t="s">
        <v>47</v>
      </c>
      <c r="F53" t="s">
        <v>38</v>
      </c>
      <c r="G53" t="s">
        <v>26</v>
      </c>
      <c r="H53">
        <v>2</v>
      </c>
      <c r="I53" s="2">
        <v>2146.962</v>
      </c>
      <c r="J53" s="2">
        <v>4293.924</v>
      </c>
      <c r="K53" s="2">
        <v>413.545875182614</v>
      </c>
      <c r="L53" s="2">
        <v>129.23308748782901</v>
      </c>
      <c r="M53" s="2">
        <f>SUM(Table1[[#This Row],[LineTotal]]+Table1[[#This Row],[TaxAmt]]+Table1[[#This Row],[Freight]])</f>
        <v>4836.7029626704425</v>
      </c>
      <c r="N53"/>
      <c r="O53"/>
      <c r="P53"/>
    </row>
    <row r="54" spans="1:21" x14ac:dyDescent="0.3">
      <c r="A54">
        <v>83</v>
      </c>
      <c r="B54">
        <v>43668</v>
      </c>
      <c r="C54" s="1">
        <v>40694</v>
      </c>
      <c r="D54">
        <v>760</v>
      </c>
      <c r="E54" t="s">
        <v>55</v>
      </c>
      <c r="F54" t="s">
        <v>38</v>
      </c>
      <c r="G54" t="s">
        <v>26</v>
      </c>
      <c r="H54">
        <v>7</v>
      </c>
      <c r="I54" s="2">
        <v>419.45890000000003</v>
      </c>
      <c r="J54" s="2">
        <v>2936.2123000000001</v>
      </c>
      <c r="K54" s="2">
        <v>282.78527643373701</v>
      </c>
      <c r="L54" s="2">
        <v>88.370399906644906</v>
      </c>
      <c r="M54" s="2">
        <f>SUM(Table1[[#This Row],[LineTotal]]+Table1[[#This Row],[TaxAmt]]+Table1[[#This Row],[Freight]])</f>
        <v>3307.367976340382</v>
      </c>
      <c r="N54"/>
      <c r="O54"/>
      <c r="P54"/>
    </row>
    <row r="55" spans="1:21" x14ac:dyDescent="0.3">
      <c r="A55">
        <v>84</v>
      </c>
      <c r="B55">
        <v>43668</v>
      </c>
      <c r="C55" s="1">
        <v>40694</v>
      </c>
      <c r="D55">
        <v>765</v>
      </c>
      <c r="E55" t="s">
        <v>45</v>
      </c>
      <c r="F55" t="s">
        <v>38</v>
      </c>
      <c r="G55" t="s">
        <v>26</v>
      </c>
      <c r="H55">
        <v>6</v>
      </c>
      <c r="I55" s="2">
        <v>419.45890000000003</v>
      </c>
      <c r="J55" s="2">
        <v>2516.7534000000001</v>
      </c>
      <c r="K55" s="2">
        <v>242.387379800346</v>
      </c>
      <c r="L55" s="2">
        <v>75.746057062838503</v>
      </c>
      <c r="M55" s="2">
        <f>SUM(Table1[[#This Row],[LineTotal]]+Table1[[#This Row],[TaxAmt]]+Table1[[#This Row],[Freight]])</f>
        <v>2834.8868368631847</v>
      </c>
      <c r="N55"/>
      <c r="O55"/>
      <c r="P55"/>
    </row>
    <row r="56" spans="1:21" x14ac:dyDescent="0.3">
      <c r="A56">
        <v>85</v>
      </c>
      <c r="B56">
        <v>43668</v>
      </c>
      <c r="C56" s="1">
        <v>40694</v>
      </c>
      <c r="D56">
        <v>715</v>
      </c>
      <c r="E56" t="s">
        <v>21</v>
      </c>
      <c r="F56" t="s">
        <v>22</v>
      </c>
      <c r="G56" t="s">
        <v>20</v>
      </c>
      <c r="H56">
        <v>6</v>
      </c>
      <c r="I56" s="2">
        <v>28.840399999999999</v>
      </c>
      <c r="J56" s="2">
        <v>173.04239999999999</v>
      </c>
      <c r="K56" s="2">
        <v>16.6656351513674</v>
      </c>
      <c r="L56" s="2">
        <v>5.2080110449798003</v>
      </c>
      <c r="M56" s="2">
        <f>SUM(Table1[[#This Row],[LineTotal]]+Table1[[#This Row],[TaxAmt]]+Table1[[#This Row],[Freight]])</f>
        <v>194.9160461963472</v>
      </c>
      <c r="N56"/>
      <c r="O56"/>
      <c r="P56"/>
    </row>
    <row r="57" spans="1:21" x14ac:dyDescent="0.3">
      <c r="A57">
        <v>86</v>
      </c>
      <c r="B57">
        <v>43668</v>
      </c>
      <c r="C57" s="1">
        <v>40694</v>
      </c>
      <c r="D57">
        <v>730</v>
      </c>
      <c r="E57" t="s">
        <v>40</v>
      </c>
      <c r="F57" t="s">
        <v>41</v>
      </c>
      <c r="G57" t="s">
        <v>15</v>
      </c>
      <c r="H57">
        <v>6</v>
      </c>
      <c r="I57" s="2">
        <v>183.93819999999999</v>
      </c>
      <c r="J57" s="2">
        <v>1103.6292000000001</v>
      </c>
      <c r="K57" s="2">
        <v>106.290028279748</v>
      </c>
      <c r="L57" s="2">
        <v>33.215634221221201</v>
      </c>
      <c r="M57" s="2">
        <f>SUM(Table1[[#This Row],[LineTotal]]+Table1[[#This Row],[TaxAmt]]+Table1[[#This Row],[Freight]])</f>
        <v>1243.1348625009693</v>
      </c>
      <c r="N57"/>
      <c r="O57"/>
      <c r="P57"/>
    </row>
    <row r="58" spans="1:21" x14ac:dyDescent="0.3">
      <c r="A58">
        <v>87</v>
      </c>
      <c r="B58">
        <v>43668</v>
      </c>
      <c r="C58" s="1">
        <v>40694</v>
      </c>
      <c r="D58">
        <v>707</v>
      </c>
      <c r="E58" t="s">
        <v>61</v>
      </c>
      <c r="F58" t="s">
        <v>29</v>
      </c>
      <c r="G58" t="s">
        <v>30</v>
      </c>
      <c r="H58">
        <v>2</v>
      </c>
      <c r="I58" s="2">
        <v>20.186499999999999</v>
      </c>
      <c r="J58" s="2">
        <v>40.372999999999998</v>
      </c>
      <c r="K58" s="2">
        <v>3.8883053399984999</v>
      </c>
      <c r="L58" s="2">
        <v>1.2150954327896999</v>
      </c>
      <c r="M58" s="2">
        <f>SUM(Table1[[#This Row],[LineTotal]]+Table1[[#This Row],[TaxAmt]]+Table1[[#This Row],[Freight]])</f>
        <v>45.476400772788203</v>
      </c>
      <c r="N58"/>
      <c r="O58"/>
      <c r="P58"/>
    </row>
    <row r="59" spans="1:21" x14ac:dyDescent="0.3">
      <c r="A59">
        <v>88</v>
      </c>
      <c r="B59">
        <v>43668</v>
      </c>
      <c r="C59" s="1">
        <v>40694</v>
      </c>
      <c r="D59">
        <v>711</v>
      </c>
      <c r="E59" t="s">
        <v>28</v>
      </c>
      <c r="F59" t="s">
        <v>29</v>
      </c>
      <c r="G59" t="s">
        <v>30</v>
      </c>
      <c r="H59">
        <v>2</v>
      </c>
      <c r="I59" s="2">
        <v>20.186499999999999</v>
      </c>
      <c r="J59" s="2">
        <v>40.372999999999998</v>
      </c>
      <c r="K59" s="2">
        <v>3.8883053399984999</v>
      </c>
      <c r="L59" s="2">
        <v>1.2150954327896999</v>
      </c>
      <c r="M59" s="2">
        <f>SUM(Table1[[#This Row],[LineTotal]]+Table1[[#This Row],[TaxAmt]]+Table1[[#This Row],[Freight]])</f>
        <v>45.476400772788203</v>
      </c>
      <c r="N59"/>
      <c r="O59"/>
      <c r="P59"/>
    </row>
    <row r="60" spans="1:21" x14ac:dyDescent="0.3">
      <c r="A60">
        <v>89</v>
      </c>
      <c r="B60">
        <v>43668</v>
      </c>
      <c r="C60" s="1">
        <v>40694</v>
      </c>
      <c r="D60">
        <v>754</v>
      </c>
      <c r="E60" t="s">
        <v>42</v>
      </c>
      <c r="F60" t="s">
        <v>38</v>
      </c>
      <c r="G60" t="s">
        <v>26</v>
      </c>
      <c r="H60">
        <v>2</v>
      </c>
      <c r="I60" s="2">
        <v>874.79399999999998</v>
      </c>
      <c r="J60" s="2">
        <v>1749.588</v>
      </c>
      <c r="K60" s="2">
        <v>168.502027671891</v>
      </c>
      <c r="L60" s="2">
        <v>52.656884255905801</v>
      </c>
      <c r="M60" s="2">
        <f>SUM(Table1[[#This Row],[LineTotal]]+Table1[[#This Row],[TaxAmt]]+Table1[[#This Row],[Freight]])</f>
        <v>1970.7469119277969</v>
      </c>
      <c r="N60"/>
      <c r="O60"/>
      <c r="P60"/>
    </row>
    <row r="61" spans="1:21" x14ac:dyDescent="0.3">
      <c r="A61">
        <v>90</v>
      </c>
      <c r="B61">
        <v>43668</v>
      </c>
      <c r="C61" s="1">
        <v>40694</v>
      </c>
      <c r="D61">
        <v>712</v>
      </c>
      <c r="E61" t="s">
        <v>18</v>
      </c>
      <c r="F61" t="s">
        <v>19</v>
      </c>
      <c r="G61" t="s">
        <v>20</v>
      </c>
      <c r="H61">
        <v>4</v>
      </c>
      <c r="I61" s="2">
        <v>5.1864999999999997</v>
      </c>
      <c r="J61" s="2">
        <v>20.745999999999999</v>
      </c>
      <c r="K61" s="2">
        <v>1.9980378615314001</v>
      </c>
      <c r="L61" s="2">
        <v>0.62438683894320002</v>
      </c>
      <c r="M61" s="2">
        <f>SUM(Table1[[#This Row],[LineTotal]]+Table1[[#This Row],[TaxAmt]]+Table1[[#This Row],[Freight]])</f>
        <v>23.368424700474598</v>
      </c>
      <c r="N61"/>
      <c r="O61"/>
      <c r="P61"/>
    </row>
    <row r="62" spans="1:21" x14ac:dyDescent="0.3">
      <c r="A62">
        <v>91</v>
      </c>
      <c r="B62">
        <v>43668</v>
      </c>
      <c r="C62" s="1">
        <v>40694</v>
      </c>
      <c r="D62">
        <v>729</v>
      </c>
      <c r="E62" t="s">
        <v>52</v>
      </c>
      <c r="F62" t="s">
        <v>41</v>
      </c>
      <c r="G62" t="s">
        <v>15</v>
      </c>
      <c r="H62">
        <v>2</v>
      </c>
      <c r="I62" s="2">
        <v>183.93819999999999</v>
      </c>
      <c r="J62" s="2">
        <v>367.87639999999999</v>
      </c>
      <c r="K62" s="2">
        <v>35.4300094265827</v>
      </c>
      <c r="L62" s="2">
        <v>11.0718780737404</v>
      </c>
      <c r="M62" s="2">
        <f>SUM(Table1[[#This Row],[LineTotal]]+Table1[[#This Row],[TaxAmt]]+Table1[[#This Row],[Freight]])</f>
        <v>414.3782875003231</v>
      </c>
      <c r="N62"/>
      <c r="O62"/>
      <c r="P62"/>
    </row>
    <row r="63" spans="1:21" x14ac:dyDescent="0.3">
      <c r="A63">
        <v>92</v>
      </c>
      <c r="B63">
        <v>43668</v>
      </c>
      <c r="C63" s="1">
        <v>40694</v>
      </c>
      <c r="D63">
        <v>755</v>
      </c>
      <c r="E63" t="s">
        <v>60</v>
      </c>
      <c r="F63" t="s">
        <v>38</v>
      </c>
      <c r="G63" t="s">
        <v>26</v>
      </c>
      <c r="H63">
        <v>3</v>
      </c>
      <c r="I63" s="2">
        <v>874.79399999999998</v>
      </c>
      <c r="J63" s="2">
        <v>2624.3820000000001</v>
      </c>
      <c r="K63" s="2">
        <v>252.753041507837</v>
      </c>
      <c r="L63" s="2">
        <v>78.985326383858705</v>
      </c>
      <c r="M63" s="2">
        <f>SUM(Table1[[#This Row],[LineTotal]]+Table1[[#This Row],[TaxAmt]]+Table1[[#This Row],[Freight]])</f>
        <v>2956.1203678916954</v>
      </c>
      <c r="N63"/>
      <c r="O63"/>
      <c r="P63"/>
    </row>
    <row r="64" spans="1:21" x14ac:dyDescent="0.3">
      <c r="A64">
        <v>93</v>
      </c>
      <c r="B64">
        <v>43668</v>
      </c>
      <c r="C64" s="1">
        <v>40694</v>
      </c>
      <c r="D64">
        <v>761</v>
      </c>
      <c r="E64" t="s">
        <v>64</v>
      </c>
      <c r="F64" t="s">
        <v>38</v>
      </c>
      <c r="G64" t="s">
        <v>26</v>
      </c>
      <c r="H64">
        <v>3</v>
      </c>
      <c r="I64" s="2">
        <v>419.45890000000003</v>
      </c>
      <c r="J64" s="2">
        <v>1258.3767</v>
      </c>
      <c r="K64" s="2">
        <v>121.193689900173</v>
      </c>
      <c r="L64" s="2">
        <v>37.873028531419202</v>
      </c>
      <c r="M64" s="2">
        <f>SUM(Table1[[#This Row],[LineTotal]]+Table1[[#This Row],[TaxAmt]]+Table1[[#This Row],[Freight]])</f>
        <v>1417.4434184315921</v>
      </c>
      <c r="N64"/>
      <c r="O64"/>
      <c r="P64"/>
    </row>
    <row r="65" spans="1:16" x14ac:dyDescent="0.3">
      <c r="A65">
        <v>94</v>
      </c>
      <c r="B65">
        <v>43668</v>
      </c>
      <c r="C65" s="1">
        <v>40694</v>
      </c>
      <c r="D65">
        <v>770</v>
      </c>
      <c r="E65" t="s">
        <v>39</v>
      </c>
      <c r="F65" t="s">
        <v>38</v>
      </c>
      <c r="G65" t="s">
        <v>26</v>
      </c>
      <c r="H65">
        <v>2</v>
      </c>
      <c r="I65" s="2">
        <v>419.45890000000003</v>
      </c>
      <c r="J65" s="2">
        <v>838.91780000000006</v>
      </c>
      <c r="K65" s="2">
        <v>80.795793266781999</v>
      </c>
      <c r="L65" s="2">
        <v>25.248685687612799</v>
      </c>
      <c r="M65" s="2">
        <f>SUM(Table1[[#This Row],[LineTotal]]+Table1[[#This Row],[TaxAmt]]+Table1[[#This Row],[Freight]])</f>
        <v>944.96227895439483</v>
      </c>
      <c r="N65"/>
      <c r="O65"/>
      <c r="P65"/>
    </row>
    <row r="66" spans="1:16" x14ac:dyDescent="0.3">
      <c r="A66">
        <v>95</v>
      </c>
      <c r="B66">
        <v>43668</v>
      </c>
      <c r="C66" s="1">
        <v>40694</v>
      </c>
      <c r="D66">
        <v>726</v>
      </c>
      <c r="E66" t="s">
        <v>56</v>
      </c>
      <c r="F66" t="s">
        <v>41</v>
      </c>
      <c r="G66" t="s">
        <v>15</v>
      </c>
      <c r="H66">
        <v>3</v>
      </c>
      <c r="I66" s="2">
        <v>183.93819999999999</v>
      </c>
      <c r="J66" s="2">
        <v>551.81460000000004</v>
      </c>
      <c r="K66" s="2">
        <v>53.145014139874</v>
      </c>
      <c r="L66" s="2">
        <v>16.607817110610601</v>
      </c>
      <c r="M66" s="2">
        <f>SUM(Table1[[#This Row],[LineTotal]]+Table1[[#This Row],[TaxAmt]]+Table1[[#This Row],[Freight]])</f>
        <v>621.56743125048467</v>
      </c>
      <c r="N66"/>
      <c r="O66"/>
      <c r="P66"/>
    </row>
    <row r="67" spans="1:16" x14ac:dyDescent="0.3">
      <c r="A67">
        <v>96</v>
      </c>
      <c r="B67">
        <v>43668</v>
      </c>
      <c r="C67" s="1">
        <v>40694</v>
      </c>
      <c r="D67">
        <v>764</v>
      </c>
      <c r="E67" t="s">
        <v>37</v>
      </c>
      <c r="F67" t="s">
        <v>38</v>
      </c>
      <c r="G67" t="s">
        <v>26</v>
      </c>
      <c r="H67">
        <v>2</v>
      </c>
      <c r="I67" s="2">
        <v>419.45890000000003</v>
      </c>
      <c r="J67" s="2">
        <v>838.91780000000006</v>
      </c>
      <c r="K67" s="2">
        <v>80.795793266781999</v>
      </c>
      <c r="L67" s="2">
        <v>25.248685687612799</v>
      </c>
      <c r="M67" s="2">
        <f>SUM(Table1[[#This Row],[LineTotal]]+Table1[[#This Row],[TaxAmt]]+Table1[[#This Row],[Freight]])</f>
        <v>944.96227895439483</v>
      </c>
      <c r="N67"/>
      <c r="O67"/>
      <c r="P67"/>
    </row>
    <row r="68" spans="1:16" x14ac:dyDescent="0.3">
      <c r="A68">
        <v>97</v>
      </c>
      <c r="B68">
        <v>43668</v>
      </c>
      <c r="C68" s="1">
        <v>40694</v>
      </c>
      <c r="D68">
        <v>766</v>
      </c>
      <c r="E68" t="s">
        <v>59</v>
      </c>
      <c r="F68" t="s">
        <v>38</v>
      </c>
      <c r="G68" t="s">
        <v>26</v>
      </c>
      <c r="H68">
        <v>2</v>
      </c>
      <c r="I68" s="2">
        <v>419.45890000000003</v>
      </c>
      <c r="J68" s="2">
        <v>838.91780000000006</v>
      </c>
      <c r="K68" s="2">
        <v>80.795793266781999</v>
      </c>
      <c r="L68" s="2">
        <v>25.248685687612799</v>
      </c>
      <c r="M68" s="2">
        <f>SUM(Table1[[#This Row],[LineTotal]]+Table1[[#This Row],[TaxAmt]]+Table1[[#This Row],[Freight]])</f>
        <v>944.96227895439483</v>
      </c>
      <c r="N68"/>
      <c r="O68"/>
      <c r="P68"/>
    </row>
    <row r="69" spans="1:16" x14ac:dyDescent="0.3">
      <c r="A69">
        <v>98</v>
      </c>
      <c r="B69">
        <v>43668</v>
      </c>
      <c r="C69" s="1">
        <v>40694</v>
      </c>
      <c r="D69">
        <v>725</v>
      </c>
      <c r="E69" t="s">
        <v>43</v>
      </c>
      <c r="F69" t="s">
        <v>41</v>
      </c>
      <c r="G69" t="s">
        <v>15</v>
      </c>
      <c r="H69">
        <v>2</v>
      </c>
      <c r="I69" s="2">
        <v>183.93819999999999</v>
      </c>
      <c r="J69" s="2">
        <v>367.87639999999999</v>
      </c>
      <c r="K69" s="2">
        <v>35.4300094265827</v>
      </c>
      <c r="L69" s="2">
        <v>11.0718780737404</v>
      </c>
      <c r="M69" s="2">
        <f>SUM(Table1[[#This Row],[LineTotal]]+Table1[[#This Row],[TaxAmt]]+Table1[[#This Row],[Freight]])</f>
        <v>414.3782875003231</v>
      </c>
      <c r="N69"/>
      <c r="O69"/>
      <c r="P69"/>
    </row>
    <row r="70" spans="1:16" x14ac:dyDescent="0.3">
      <c r="A70">
        <v>99</v>
      </c>
      <c r="B70">
        <v>43668</v>
      </c>
      <c r="C70" s="1">
        <v>40694</v>
      </c>
      <c r="D70">
        <v>716</v>
      </c>
      <c r="E70" t="s">
        <v>34</v>
      </c>
      <c r="F70" t="s">
        <v>22</v>
      </c>
      <c r="G70" t="s">
        <v>20</v>
      </c>
      <c r="H70">
        <v>1</v>
      </c>
      <c r="I70" s="2">
        <v>28.840399999999999</v>
      </c>
      <c r="J70" s="2">
        <v>28.840399999999999</v>
      </c>
      <c r="K70" s="2">
        <v>2.7776058585611998</v>
      </c>
      <c r="L70" s="2">
        <v>0.86800184082999998</v>
      </c>
      <c r="M70" s="2">
        <f>SUM(Table1[[#This Row],[LineTotal]]+Table1[[#This Row],[TaxAmt]]+Table1[[#This Row],[Freight]])</f>
        <v>32.486007699391195</v>
      </c>
      <c r="N70"/>
      <c r="O70"/>
      <c r="P70"/>
    </row>
    <row r="71" spans="1:16" x14ac:dyDescent="0.3">
      <c r="A71">
        <v>100</v>
      </c>
      <c r="B71">
        <v>43668</v>
      </c>
      <c r="C71" s="1">
        <v>40694</v>
      </c>
      <c r="D71">
        <v>768</v>
      </c>
      <c r="E71" t="s">
        <v>46</v>
      </c>
      <c r="F71" t="s">
        <v>38</v>
      </c>
      <c r="G71" t="s">
        <v>26</v>
      </c>
      <c r="H71">
        <v>2</v>
      </c>
      <c r="I71" s="2">
        <v>419.45890000000003</v>
      </c>
      <c r="J71" s="2">
        <v>838.91780000000006</v>
      </c>
      <c r="K71" s="2">
        <v>80.795793266781999</v>
      </c>
      <c r="L71" s="2">
        <v>25.248685687612799</v>
      </c>
      <c r="M71" s="2">
        <f>SUM(Table1[[#This Row],[LineTotal]]+Table1[[#This Row],[TaxAmt]]+Table1[[#This Row],[Freight]])</f>
        <v>944.96227895439483</v>
      </c>
      <c r="N71"/>
      <c r="O71"/>
      <c r="P71"/>
    </row>
    <row r="72" spans="1:16" x14ac:dyDescent="0.3">
      <c r="A72">
        <v>101</v>
      </c>
      <c r="B72">
        <v>43668</v>
      </c>
      <c r="C72" s="1">
        <v>40694</v>
      </c>
      <c r="D72">
        <v>732</v>
      </c>
      <c r="E72" t="s">
        <v>50</v>
      </c>
      <c r="F72" t="s">
        <v>41</v>
      </c>
      <c r="G72" t="s">
        <v>15</v>
      </c>
      <c r="H72">
        <v>4</v>
      </c>
      <c r="I72" s="2">
        <v>356.89800000000002</v>
      </c>
      <c r="J72" s="2">
        <v>1427.5920000000001</v>
      </c>
      <c r="K72" s="2">
        <v>137.490738784314</v>
      </c>
      <c r="L72" s="2">
        <v>42.965856366560097</v>
      </c>
      <c r="M72" s="2">
        <f>SUM(Table1[[#This Row],[LineTotal]]+Table1[[#This Row],[TaxAmt]]+Table1[[#This Row],[Freight]])</f>
        <v>1608.0485951508742</v>
      </c>
      <c r="N72"/>
      <c r="O72"/>
      <c r="P72"/>
    </row>
    <row r="73" spans="1:16" x14ac:dyDescent="0.3">
      <c r="A73">
        <v>102</v>
      </c>
      <c r="B73">
        <v>43668</v>
      </c>
      <c r="C73" s="1">
        <v>40694</v>
      </c>
      <c r="D73">
        <v>758</v>
      </c>
      <c r="E73" t="s">
        <v>51</v>
      </c>
      <c r="F73" t="s">
        <v>38</v>
      </c>
      <c r="G73" t="s">
        <v>26</v>
      </c>
      <c r="H73">
        <v>6</v>
      </c>
      <c r="I73" s="2">
        <v>874.79399999999998</v>
      </c>
      <c r="J73" s="2">
        <v>5248.7640000000001</v>
      </c>
      <c r="K73" s="2">
        <v>505.50608301567502</v>
      </c>
      <c r="L73" s="2">
        <v>157.97065276771701</v>
      </c>
      <c r="M73" s="2">
        <f>SUM(Table1[[#This Row],[LineTotal]]+Table1[[#This Row],[TaxAmt]]+Table1[[#This Row],[Freight]])</f>
        <v>5912.2407357833927</v>
      </c>
      <c r="N73"/>
      <c r="O73"/>
      <c r="P73"/>
    </row>
    <row r="74" spans="1:16" x14ac:dyDescent="0.3">
      <c r="A74">
        <v>103</v>
      </c>
      <c r="B74">
        <v>43668</v>
      </c>
      <c r="C74" s="1">
        <v>40694</v>
      </c>
      <c r="D74">
        <v>762</v>
      </c>
      <c r="E74" t="s">
        <v>44</v>
      </c>
      <c r="F74" t="s">
        <v>38</v>
      </c>
      <c r="G74" t="s">
        <v>26</v>
      </c>
      <c r="H74">
        <v>4</v>
      </c>
      <c r="I74" s="2">
        <v>419.45890000000003</v>
      </c>
      <c r="J74" s="2">
        <v>1677.8356000000001</v>
      </c>
      <c r="K74" s="2">
        <v>161.591586533564</v>
      </c>
      <c r="L74" s="2">
        <v>50.497371375225697</v>
      </c>
      <c r="M74" s="2">
        <f>SUM(Table1[[#This Row],[LineTotal]]+Table1[[#This Row],[TaxAmt]]+Table1[[#This Row],[Freight]])</f>
        <v>1889.9245579087897</v>
      </c>
      <c r="N74"/>
      <c r="O74"/>
      <c r="P74"/>
    </row>
    <row r="75" spans="1:16" x14ac:dyDescent="0.3">
      <c r="A75">
        <v>104</v>
      </c>
      <c r="B75">
        <v>43668</v>
      </c>
      <c r="C75" s="1">
        <v>40694</v>
      </c>
      <c r="D75">
        <v>738</v>
      </c>
      <c r="E75" t="s">
        <v>58</v>
      </c>
      <c r="F75" t="s">
        <v>41</v>
      </c>
      <c r="G75" t="s">
        <v>15</v>
      </c>
      <c r="H75">
        <v>3</v>
      </c>
      <c r="I75" s="2">
        <v>178.58080000000001</v>
      </c>
      <c r="J75" s="2">
        <v>535.74239999999998</v>
      </c>
      <c r="K75" s="2">
        <v>51.597107838991597</v>
      </c>
      <c r="L75" s="2">
        <v>16.1240963859956</v>
      </c>
      <c r="M75" s="2">
        <f>SUM(Table1[[#This Row],[LineTotal]]+Table1[[#This Row],[TaxAmt]]+Table1[[#This Row],[Freight]])</f>
        <v>603.46360422498719</v>
      </c>
      <c r="N75"/>
      <c r="O75"/>
      <c r="P75"/>
    </row>
    <row r="76" spans="1:16" x14ac:dyDescent="0.3">
      <c r="A76">
        <v>105</v>
      </c>
      <c r="B76">
        <v>43668</v>
      </c>
      <c r="C76" s="1">
        <v>40694</v>
      </c>
      <c r="D76">
        <v>714</v>
      </c>
      <c r="E76" t="s">
        <v>65</v>
      </c>
      <c r="F76" t="s">
        <v>22</v>
      </c>
      <c r="G76" t="s">
        <v>20</v>
      </c>
      <c r="H76">
        <v>4</v>
      </c>
      <c r="I76" s="2">
        <v>28.840399999999999</v>
      </c>
      <c r="J76" s="2">
        <v>115.3616</v>
      </c>
      <c r="K76" s="2">
        <v>11.1104234342449</v>
      </c>
      <c r="L76" s="2">
        <v>3.4720073633199</v>
      </c>
      <c r="M76" s="2">
        <f>SUM(Table1[[#This Row],[LineTotal]]+Table1[[#This Row],[TaxAmt]]+Table1[[#This Row],[Freight]])</f>
        <v>129.94403079756481</v>
      </c>
      <c r="N76"/>
      <c r="O76"/>
      <c r="P76"/>
    </row>
    <row r="77" spans="1:16" x14ac:dyDescent="0.3">
      <c r="A77">
        <v>106</v>
      </c>
      <c r="B77">
        <v>43668</v>
      </c>
      <c r="C77" s="1">
        <v>40694</v>
      </c>
      <c r="D77">
        <v>722</v>
      </c>
      <c r="E77" t="s">
        <v>53</v>
      </c>
      <c r="F77" t="s">
        <v>41</v>
      </c>
      <c r="G77" t="s">
        <v>15</v>
      </c>
      <c r="H77">
        <v>3</v>
      </c>
      <c r="I77" s="2">
        <v>178.58080000000001</v>
      </c>
      <c r="J77" s="2">
        <v>535.74239999999998</v>
      </c>
      <c r="K77" s="2">
        <v>51.597107838991597</v>
      </c>
      <c r="L77" s="2">
        <v>16.1240963859956</v>
      </c>
      <c r="M77" s="2">
        <f>SUM(Table1[[#This Row],[LineTotal]]+Table1[[#This Row],[TaxAmt]]+Table1[[#This Row],[Freight]])</f>
        <v>603.46360422498719</v>
      </c>
      <c r="N77"/>
      <c r="O77"/>
      <c r="P77"/>
    </row>
    <row r="78" spans="1:16" x14ac:dyDescent="0.3">
      <c r="A78">
        <v>107</v>
      </c>
      <c r="B78">
        <v>43668</v>
      </c>
      <c r="C78" s="1">
        <v>40694</v>
      </c>
      <c r="D78">
        <v>708</v>
      </c>
      <c r="E78" t="s">
        <v>36</v>
      </c>
      <c r="F78" t="s">
        <v>29</v>
      </c>
      <c r="G78" t="s">
        <v>30</v>
      </c>
      <c r="H78">
        <v>1</v>
      </c>
      <c r="I78" s="2">
        <v>20.186499999999999</v>
      </c>
      <c r="J78" s="2">
        <v>20.186499999999999</v>
      </c>
      <c r="K78" s="2">
        <v>1.9441526699992</v>
      </c>
      <c r="L78" s="2">
        <v>0.60754771639490002</v>
      </c>
      <c r="M78" s="2">
        <f>SUM(Table1[[#This Row],[LineTotal]]+Table1[[#This Row],[TaxAmt]]+Table1[[#This Row],[Freight]])</f>
        <v>22.738200386394102</v>
      </c>
      <c r="N78"/>
      <c r="O78"/>
      <c r="P78"/>
    </row>
    <row r="79" spans="1:16" x14ac:dyDescent="0.3">
      <c r="A79">
        <v>108</v>
      </c>
      <c r="B79">
        <v>43668</v>
      </c>
      <c r="C79" s="1">
        <v>40694</v>
      </c>
      <c r="D79">
        <v>733</v>
      </c>
      <c r="E79" t="s">
        <v>57</v>
      </c>
      <c r="F79" t="s">
        <v>41</v>
      </c>
      <c r="G79" t="s">
        <v>15</v>
      </c>
      <c r="H79">
        <v>3</v>
      </c>
      <c r="I79" s="2">
        <v>356.89800000000002</v>
      </c>
      <c r="J79" s="2">
        <v>1070.694</v>
      </c>
      <c r="K79" s="2">
        <v>103.118054088235</v>
      </c>
      <c r="L79" s="2">
        <v>32.224392274920099</v>
      </c>
      <c r="M79" s="2">
        <f>SUM(Table1[[#This Row],[LineTotal]]+Table1[[#This Row],[TaxAmt]]+Table1[[#This Row],[Freight]])</f>
        <v>1206.0364463631552</v>
      </c>
      <c r="N79"/>
      <c r="O79"/>
      <c r="P79"/>
    </row>
    <row r="80" spans="1:16" x14ac:dyDescent="0.3">
      <c r="A80">
        <v>109</v>
      </c>
      <c r="B80">
        <v>43668</v>
      </c>
      <c r="C80" s="1">
        <v>40694</v>
      </c>
      <c r="D80">
        <v>763</v>
      </c>
      <c r="E80" t="s">
        <v>49</v>
      </c>
      <c r="F80" t="s">
        <v>38</v>
      </c>
      <c r="G80" t="s">
        <v>26</v>
      </c>
      <c r="H80">
        <v>3</v>
      </c>
      <c r="I80" s="2">
        <v>419.45890000000003</v>
      </c>
      <c r="J80" s="2">
        <v>1258.3767</v>
      </c>
      <c r="K80" s="2">
        <v>121.193689900173</v>
      </c>
      <c r="L80" s="2">
        <v>37.873028531419202</v>
      </c>
      <c r="M80" s="2">
        <f>SUM(Table1[[#This Row],[LineTotal]]+Table1[[#This Row],[TaxAmt]]+Table1[[#This Row],[Freight]])</f>
        <v>1417.4434184315921</v>
      </c>
      <c r="N80"/>
      <c r="O80"/>
      <c r="P80"/>
    </row>
    <row r="81" spans="1:16" x14ac:dyDescent="0.3">
      <c r="A81">
        <v>110</v>
      </c>
      <c r="B81">
        <v>43669</v>
      </c>
      <c r="C81" s="1">
        <v>40694</v>
      </c>
      <c r="D81">
        <v>747</v>
      </c>
      <c r="E81" t="s">
        <v>17</v>
      </c>
      <c r="F81" t="s">
        <v>14</v>
      </c>
      <c r="G81" t="s">
        <v>15</v>
      </c>
      <c r="H81">
        <v>1</v>
      </c>
      <c r="I81" s="2">
        <v>714.70429999999999</v>
      </c>
      <c r="J81" s="2">
        <v>714.70429999999999</v>
      </c>
      <c r="K81" s="2">
        <v>70.517499999999998</v>
      </c>
      <c r="L81" s="2">
        <v>22.0367</v>
      </c>
      <c r="M81" s="2">
        <f>SUM(Table1[[#This Row],[LineTotal]]+Table1[[#This Row],[TaxAmt]]+Table1[[#This Row],[Freight]])</f>
        <v>807.25850000000003</v>
      </c>
      <c r="N81"/>
      <c r="O81"/>
      <c r="P81"/>
    </row>
    <row r="82" spans="1:16" x14ac:dyDescent="0.3">
      <c r="A82">
        <v>115</v>
      </c>
      <c r="B82">
        <v>43671</v>
      </c>
      <c r="C82" s="1">
        <v>40694</v>
      </c>
      <c r="D82">
        <v>753</v>
      </c>
      <c r="E82" t="s">
        <v>47</v>
      </c>
      <c r="F82" t="s">
        <v>38</v>
      </c>
      <c r="G82" t="s">
        <v>26</v>
      </c>
      <c r="H82">
        <v>1</v>
      </c>
      <c r="I82" s="2">
        <v>2146.962</v>
      </c>
      <c r="J82" s="2">
        <v>2146.962</v>
      </c>
      <c r="K82" s="2">
        <v>206.227202723712</v>
      </c>
      <c r="L82" s="2">
        <v>64.445987645242397</v>
      </c>
      <c r="M82" s="2">
        <f>SUM(Table1[[#This Row],[LineTotal]]+Table1[[#This Row],[TaxAmt]]+Table1[[#This Row],[Freight]])</f>
        <v>2417.6351903689542</v>
      </c>
      <c r="N82"/>
      <c r="O82"/>
      <c r="P82"/>
    </row>
    <row r="83" spans="1:16" x14ac:dyDescent="0.3">
      <c r="A83">
        <v>116</v>
      </c>
      <c r="B83">
        <v>43671</v>
      </c>
      <c r="C83" s="1">
        <v>40694</v>
      </c>
      <c r="D83">
        <v>714</v>
      </c>
      <c r="E83" t="s">
        <v>65</v>
      </c>
      <c r="F83" t="s">
        <v>22</v>
      </c>
      <c r="G83" t="s">
        <v>20</v>
      </c>
      <c r="H83">
        <v>2</v>
      </c>
      <c r="I83" s="2">
        <v>28.840399999999999</v>
      </c>
      <c r="J83" s="2">
        <v>57.680799999999998</v>
      </c>
      <c r="K83" s="2">
        <v>5.5405498722687998</v>
      </c>
      <c r="L83" s="2">
        <v>1.7314214802906001</v>
      </c>
      <c r="M83" s="2">
        <f>SUM(Table1[[#This Row],[LineTotal]]+Table1[[#This Row],[TaxAmt]]+Table1[[#This Row],[Freight]])</f>
        <v>64.952771352559395</v>
      </c>
      <c r="N83"/>
      <c r="O83"/>
      <c r="P83"/>
    </row>
    <row r="84" spans="1:16" x14ac:dyDescent="0.3">
      <c r="A84">
        <v>117</v>
      </c>
      <c r="B84">
        <v>43671</v>
      </c>
      <c r="C84" s="1">
        <v>40694</v>
      </c>
      <c r="D84">
        <v>756</v>
      </c>
      <c r="E84" t="s">
        <v>48</v>
      </c>
      <c r="F84" t="s">
        <v>38</v>
      </c>
      <c r="G84" t="s">
        <v>26</v>
      </c>
      <c r="H84">
        <v>1</v>
      </c>
      <c r="I84" s="2">
        <v>874.79399999999998</v>
      </c>
      <c r="J84" s="2">
        <v>874.79399999999998</v>
      </c>
      <c r="K84" s="2">
        <v>84.028650520823106</v>
      </c>
      <c r="L84" s="2">
        <v>26.2589479069179</v>
      </c>
      <c r="M84" s="2">
        <f>SUM(Table1[[#This Row],[LineTotal]]+Table1[[#This Row],[TaxAmt]]+Table1[[#This Row],[Freight]])</f>
        <v>985.08159842774103</v>
      </c>
      <c r="N84"/>
      <c r="O84"/>
      <c r="P84"/>
    </row>
    <row r="85" spans="1:16" x14ac:dyDescent="0.3">
      <c r="A85">
        <v>118</v>
      </c>
      <c r="B85">
        <v>43671</v>
      </c>
      <c r="C85" s="1">
        <v>40694</v>
      </c>
      <c r="D85">
        <v>768</v>
      </c>
      <c r="E85" t="s">
        <v>46</v>
      </c>
      <c r="F85" t="s">
        <v>38</v>
      </c>
      <c r="G85" t="s">
        <v>26</v>
      </c>
      <c r="H85">
        <v>2</v>
      </c>
      <c r="I85" s="2">
        <v>419.45890000000003</v>
      </c>
      <c r="J85" s="2">
        <v>838.91780000000006</v>
      </c>
      <c r="K85" s="2">
        <v>80.5825492994896</v>
      </c>
      <c r="L85" s="2">
        <v>25.182041495924899</v>
      </c>
      <c r="M85" s="2">
        <f>SUM(Table1[[#This Row],[LineTotal]]+Table1[[#This Row],[TaxAmt]]+Table1[[#This Row],[Freight]])</f>
        <v>944.68239079541456</v>
      </c>
      <c r="N85"/>
      <c r="O85"/>
      <c r="P85"/>
    </row>
    <row r="86" spans="1:16" x14ac:dyDescent="0.3">
      <c r="A86">
        <v>119</v>
      </c>
      <c r="B86">
        <v>43671</v>
      </c>
      <c r="C86" s="1">
        <v>40694</v>
      </c>
      <c r="D86">
        <v>732</v>
      </c>
      <c r="E86" t="s">
        <v>50</v>
      </c>
      <c r="F86" t="s">
        <v>41</v>
      </c>
      <c r="G86" t="s">
        <v>15</v>
      </c>
      <c r="H86">
        <v>2</v>
      </c>
      <c r="I86" s="2">
        <v>356.89800000000002</v>
      </c>
      <c r="J86" s="2">
        <v>713.79600000000005</v>
      </c>
      <c r="K86" s="2">
        <v>68.563930053431307</v>
      </c>
      <c r="L86" s="2">
        <v>21.426223751153199</v>
      </c>
      <c r="M86" s="2">
        <f>SUM(Table1[[#This Row],[LineTotal]]+Table1[[#This Row],[TaxAmt]]+Table1[[#This Row],[Freight]])</f>
        <v>803.7861538045845</v>
      </c>
      <c r="N86"/>
      <c r="O86"/>
      <c r="P86"/>
    </row>
    <row r="87" spans="1:16" x14ac:dyDescent="0.3">
      <c r="A87">
        <v>120</v>
      </c>
      <c r="B87">
        <v>43671</v>
      </c>
      <c r="C87" s="1">
        <v>40694</v>
      </c>
      <c r="D87">
        <v>763</v>
      </c>
      <c r="E87" t="s">
        <v>49</v>
      </c>
      <c r="F87" t="s">
        <v>38</v>
      </c>
      <c r="G87" t="s">
        <v>26</v>
      </c>
      <c r="H87">
        <v>2</v>
      </c>
      <c r="I87" s="2">
        <v>419.45890000000003</v>
      </c>
      <c r="J87" s="2">
        <v>838.91780000000006</v>
      </c>
      <c r="K87" s="2">
        <v>80.5825492994896</v>
      </c>
      <c r="L87" s="2">
        <v>25.182041495924899</v>
      </c>
      <c r="M87" s="2">
        <f>SUM(Table1[[#This Row],[LineTotal]]+Table1[[#This Row],[TaxAmt]]+Table1[[#This Row],[Freight]])</f>
        <v>944.68239079541456</v>
      </c>
      <c r="N87"/>
      <c r="O87"/>
      <c r="P87"/>
    </row>
    <row r="88" spans="1:16" x14ac:dyDescent="0.3">
      <c r="A88">
        <v>121</v>
      </c>
      <c r="B88">
        <v>43671</v>
      </c>
      <c r="C88" s="1">
        <v>40694</v>
      </c>
      <c r="D88">
        <v>755</v>
      </c>
      <c r="E88" t="s">
        <v>60</v>
      </c>
      <c r="F88" t="s">
        <v>38</v>
      </c>
      <c r="G88" t="s">
        <v>26</v>
      </c>
      <c r="H88">
        <v>2</v>
      </c>
      <c r="I88" s="2">
        <v>874.79399999999998</v>
      </c>
      <c r="J88" s="2">
        <v>1749.588</v>
      </c>
      <c r="K88" s="2">
        <v>168.05730104164601</v>
      </c>
      <c r="L88" s="2">
        <v>52.5178958138358</v>
      </c>
      <c r="M88" s="2">
        <f>SUM(Table1[[#This Row],[LineTotal]]+Table1[[#This Row],[TaxAmt]]+Table1[[#This Row],[Freight]])</f>
        <v>1970.1631968554818</v>
      </c>
      <c r="N88"/>
      <c r="O88"/>
      <c r="P88"/>
    </row>
    <row r="89" spans="1:16" x14ac:dyDescent="0.3">
      <c r="A89">
        <v>122</v>
      </c>
      <c r="B89">
        <v>43671</v>
      </c>
      <c r="C89" s="1">
        <v>40694</v>
      </c>
      <c r="D89">
        <v>764</v>
      </c>
      <c r="E89" t="s">
        <v>37</v>
      </c>
      <c r="F89" t="s">
        <v>38</v>
      </c>
      <c r="G89" t="s">
        <v>26</v>
      </c>
      <c r="H89">
        <v>2</v>
      </c>
      <c r="I89" s="2">
        <v>419.45890000000003</v>
      </c>
      <c r="J89" s="2">
        <v>838.91780000000006</v>
      </c>
      <c r="K89" s="2">
        <v>80.5825492994896</v>
      </c>
      <c r="L89" s="2">
        <v>25.182041495924899</v>
      </c>
      <c r="M89" s="2">
        <f>SUM(Table1[[#This Row],[LineTotal]]+Table1[[#This Row],[TaxAmt]]+Table1[[#This Row],[Freight]])</f>
        <v>944.68239079541456</v>
      </c>
      <c r="N89"/>
      <c r="O89"/>
      <c r="P89"/>
    </row>
    <row r="90" spans="1:16" x14ac:dyDescent="0.3">
      <c r="A90">
        <v>123</v>
      </c>
      <c r="B90">
        <v>43671</v>
      </c>
      <c r="C90" s="1">
        <v>40694</v>
      </c>
      <c r="D90">
        <v>716</v>
      </c>
      <c r="E90" t="s">
        <v>34</v>
      </c>
      <c r="F90" t="s">
        <v>22</v>
      </c>
      <c r="G90" t="s">
        <v>20</v>
      </c>
      <c r="H90">
        <v>1</v>
      </c>
      <c r="I90" s="2">
        <v>28.840399999999999</v>
      </c>
      <c r="J90" s="2">
        <v>28.840399999999999</v>
      </c>
      <c r="K90" s="2">
        <v>2.7702749361343999</v>
      </c>
      <c r="L90" s="2">
        <v>0.86571074014530003</v>
      </c>
      <c r="M90" s="2">
        <f>SUM(Table1[[#This Row],[LineTotal]]+Table1[[#This Row],[TaxAmt]]+Table1[[#This Row],[Freight]])</f>
        <v>32.476385676279698</v>
      </c>
      <c r="N90"/>
      <c r="O90"/>
      <c r="P90"/>
    </row>
    <row r="91" spans="1:16" x14ac:dyDescent="0.3">
      <c r="A91">
        <v>124</v>
      </c>
      <c r="B91">
        <v>43671</v>
      </c>
      <c r="C91" s="1">
        <v>40694</v>
      </c>
      <c r="D91">
        <v>711</v>
      </c>
      <c r="E91" t="s">
        <v>28</v>
      </c>
      <c r="F91" t="s">
        <v>29</v>
      </c>
      <c r="G91" t="s">
        <v>30</v>
      </c>
      <c r="H91">
        <v>1</v>
      </c>
      <c r="I91" s="2">
        <v>20.186499999999999</v>
      </c>
      <c r="J91" s="2">
        <v>20.186499999999999</v>
      </c>
      <c r="K91" s="2">
        <v>1.9390214767575</v>
      </c>
      <c r="L91" s="2">
        <v>0.60594408732000005</v>
      </c>
      <c r="M91" s="2">
        <f>SUM(Table1[[#This Row],[LineTotal]]+Table1[[#This Row],[TaxAmt]]+Table1[[#This Row],[Freight]])</f>
        <v>22.731465564077499</v>
      </c>
      <c r="N91"/>
      <c r="O91"/>
      <c r="P91"/>
    </row>
    <row r="92" spans="1:16" x14ac:dyDescent="0.3">
      <c r="A92">
        <v>125</v>
      </c>
      <c r="B92">
        <v>43671</v>
      </c>
      <c r="C92" s="1">
        <v>40694</v>
      </c>
      <c r="D92">
        <v>708</v>
      </c>
      <c r="E92" t="s">
        <v>36</v>
      </c>
      <c r="F92" t="s">
        <v>29</v>
      </c>
      <c r="G92" t="s">
        <v>30</v>
      </c>
      <c r="H92">
        <v>1</v>
      </c>
      <c r="I92" s="2">
        <v>20.186499999999999</v>
      </c>
      <c r="J92" s="2">
        <v>20.186499999999999</v>
      </c>
      <c r="K92" s="2">
        <v>1.9390214767575</v>
      </c>
      <c r="L92" s="2">
        <v>0.60594408732000005</v>
      </c>
      <c r="M92" s="2">
        <f>SUM(Table1[[#This Row],[LineTotal]]+Table1[[#This Row],[TaxAmt]]+Table1[[#This Row],[Freight]])</f>
        <v>22.731465564077499</v>
      </c>
      <c r="N92"/>
      <c r="O92"/>
      <c r="P92"/>
    </row>
    <row r="93" spans="1:16" x14ac:dyDescent="0.3">
      <c r="A93">
        <v>126</v>
      </c>
      <c r="B93">
        <v>43672</v>
      </c>
      <c r="C93" s="1">
        <v>40694</v>
      </c>
      <c r="D93">
        <v>709</v>
      </c>
      <c r="E93" t="s">
        <v>62</v>
      </c>
      <c r="F93" t="s">
        <v>63</v>
      </c>
      <c r="G93" t="s">
        <v>20</v>
      </c>
      <c r="H93">
        <v>6</v>
      </c>
      <c r="I93" s="2">
        <v>5.7</v>
      </c>
      <c r="J93" s="2">
        <v>34.200000000000003</v>
      </c>
      <c r="K93" s="2">
        <v>3.2814176097313998</v>
      </c>
      <c r="L93" s="2">
        <v>1.0254428983332</v>
      </c>
      <c r="M93" s="2">
        <f>SUM(Table1[[#This Row],[LineTotal]]+Table1[[#This Row],[TaxAmt]]+Table1[[#This Row],[Freight]])</f>
        <v>38.506860508064605</v>
      </c>
      <c r="N93"/>
      <c r="O93"/>
      <c r="P93"/>
    </row>
    <row r="94" spans="1:16" x14ac:dyDescent="0.3">
      <c r="A94">
        <v>127</v>
      </c>
      <c r="B94">
        <v>43672</v>
      </c>
      <c r="C94" s="1">
        <v>40694</v>
      </c>
      <c r="D94">
        <v>776</v>
      </c>
      <c r="E94" t="s">
        <v>32</v>
      </c>
      <c r="F94" t="s">
        <v>25</v>
      </c>
      <c r="G94" t="s">
        <v>26</v>
      </c>
      <c r="H94">
        <v>2</v>
      </c>
      <c r="I94" s="2">
        <v>2024.9939999999999</v>
      </c>
      <c r="J94" s="2">
        <v>4049.9879999999998</v>
      </c>
      <c r="K94" s="2">
        <v>388.58777609358998</v>
      </c>
      <c r="L94" s="2">
        <v>121.43366762966799</v>
      </c>
      <c r="M94" s="2">
        <f>SUM(Table1[[#This Row],[LineTotal]]+Table1[[#This Row],[TaxAmt]]+Table1[[#This Row],[Freight]])</f>
        <v>4560.0094437232574</v>
      </c>
      <c r="N94"/>
      <c r="O94"/>
      <c r="P94"/>
    </row>
    <row r="95" spans="1:16" x14ac:dyDescent="0.3">
      <c r="A95">
        <v>128</v>
      </c>
      <c r="B95">
        <v>43672</v>
      </c>
      <c r="C95" s="1">
        <v>40694</v>
      </c>
      <c r="D95">
        <v>774</v>
      </c>
      <c r="E95" t="s">
        <v>66</v>
      </c>
      <c r="F95" t="s">
        <v>25</v>
      </c>
      <c r="G95" t="s">
        <v>26</v>
      </c>
      <c r="H95">
        <v>1</v>
      </c>
      <c r="I95" s="2">
        <v>2039.9939999999999</v>
      </c>
      <c r="J95" s="2">
        <v>2039.9939999999999</v>
      </c>
      <c r="K95" s="2">
        <v>195.73310629667699</v>
      </c>
      <c r="L95" s="2">
        <v>61.166589471998101</v>
      </c>
      <c r="M95" s="2">
        <f>SUM(Table1[[#This Row],[LineTotal]]+Table1[[#This Row],[TaxAmt]]+Table1[[#This Row],[Freight]])</f>
        <v>2296.8936957686751</v>
      </c>
      <c r="N95"/>
      <c r="O95"/>
      <c r="P95"/>
    </row>
    <row r="96" spans="1:16" x14ac:dyDescent="0.3">
      <c r="A96">
        <v>140</v>
      </c>
      <c r="B96">
        <v>43674</v>
      </c>
      <c r="C96" s="1">
        <v>40694</v>
      </c>
      <c r="D96">
        <v>758</v>
      </c>
      <c r="E96" t="s">
        <v>51</v>
      </c>
      <c r="F96" t="s">
        <v>38</v>
      </c>
      <c r="G96" t="s">
        <v>26</v>
      </c>
      <c r="H96">
        <v>3</v>
      </c>
      <c r="I96" s="2">
        <v>874.79399999999998</v>
      </c>
      <c r="J96" s="2">
        <v>2624.3820000000001</v>
      </c>
      <c r="K96" s="2">
        <v>251.94069999999999</v>
      </c>
      <c r="L96" s="2">
        <v>78.731499999999997</v>
      </c>
      <c r="M96" s="2">
        <f>SUM(Table1[[#This Row],[LineTotal]]+Table1[[#This Row],[TaxAmt]]+Table1[[#This Row],[Freight]])</f>
        <v>2955.0542</v>
      </c>
      <c r="N96"/>
      <c r="O96"/>
      <c r="P96"/>
    </row>
    <row r="97" spans="1:16" x14ac:dyDescent="0.3">
      <c r="A97">
        <v>230</v>
      </c>
      <c r="B97">
        <v>43683</v>
      </c>
      <c r="C97" s="1">
        <v>40694</v>
      </c>
      <c r="D97">
        <v>776</v>
      </c>
      <c r="E97" t="s">
        <v>32</v>
      </c>
      <c r="F97" t="s">
        <v>25</v>
      </c>
      <c r="G97" t="s">
        <v>26</v>
      </c>
      <c r="H97">
        <v>2</v>
      </c>
      <c r="I97" s="2">
        <v>2024.9939999999999</v>
      </c>
      <c r="J97" s="2">
        <v>4049.9879999999998</v>
      </c>
      <c r="K97" s="2">
        <v>388.520669264177</v>
      </c>
      <c r="L97" s="2">
        <v>121.41270618892401</v>
      </c>
      <c r="M97" s="2">
        <f>SUM(Table1[[#This Row],[LineTotal]]+Table1[[#This Row],[TaxAmt]]+Table1[[#This Row],[Freight]])</f>
        <v>4559.9213754531011</v>
      </c>
      <c r="N97"/>
      <c r="O97"/>
      <c r="P97"/>
    </row>
    <row r="98" spans="1:16" x14ac:dyDescent="0.3">
      <c r="A98">
        <v>231</v>
      </c>
      <c r="B98">
        <v>43683</v>
      </c>
      <c r="C98" s="1">
        <v>40694</v>
      </c>
      <c r="D98">
        <v>715</v>
      </c>
      <c r="E98" t="s">
        <v>21</v>
      </c>
      <c r="F98" t="s">
        <v>22</v>
      </c>
      <c r="G98" t="s">
        <v>20</v>
      </c>
      <c r="H98">
        <v>2</v>
      </c>
      <c r="I98" s="2">
        <v>28.840399999999999</v>
      </c>
      <c r="J98" s="2">
        <v>57.680799999999998</v>
      </c>
      <c r="K98" s="2">
        <v>5.5333949186252003</v>
      </c>
      <c r="L98" s="2">
        <v>1.7291858699685001</v>
      </c>
      <c r="M98" s="2">
        <f>SUM(Table1[[#This Row],[LineTotal]]+Table1[[#This Row],[TaxAmt]]+Table1[[#This Row],[Freight]])</f>
        <v>64.9433807885937</v>
      </c>
      <c r="N98"/>
      <c r="O98"/>
      <c r="P98"/>
    </row>
    <row r="99" spans="1:16" x14ac:dyDescent="0.3">
      <c r="A99">
        <v>232</v>
      </c>
      <c r="B99">
        <v>43683</v>
      </c>
      <c r="C99" s="1">
        <v>40694</v>
      </c>
      <c r="D99">
        <v>773</v>
      </c>
      <c r="E99" t="s">
        <v>33</v>
      </c>
      <c r="F99" t="s">
        <v>25</v>
      </c>
      <c r="G99" t="s">
        <v>26</v>
      </c>
      <c r="H99">
        <v>2</v>
      </c>
      <c r="I99" s="2">
        <v>2039.9939999999999</v>
      </c>
      <c r="J99" s="2">
        <v>4079.9879999999998</v>
      </c>
      <c r="K99" s="2">
        <v>391.39860867484299</v>
      </c>
      <c r="L99" s="2">
        <v>122.31206223286</v>
      </c>
      <c r="M99" s="2">
        <f>SUM(Table1[[#This Row],[LineTotal]]+Table1[[#This Row],[TaxAmt]]+Table1[[#This Row],[Freight]])</f>
        <v>4593.6986709077028</v>
      </c>
      <c r="N99"/>
      <c r="O99"/>
      <c r="P99"/>
    </row>
    <row r="100" spans="1:16" x14ac:dyDescent="0.3">
      <c r="A100">
        <v>233</v>
      </c>
      <c r="B100">
        <v>43683</v>
      </c>
      <c r="C100" s="1">
        <v>40694</v>
      </c>
      <c r="D100">
        <v>774</v>
      </c>
      <c r="E100" t="s">
        <v>66</v>
      </c>
      <c r="F100" t="s">
        <v>25</v>
      </c>
      <c r="G100" t="s">
        <v>26</v>
      </c>
      <c r="H100">
        <v>1</v>
      </c>
      <c r="I100" s="2">
        <v>2039.9939999999999</v>
      </c>
      <c r="J100" s="2">
        <v>2039.9939999999999</v>
      </c>
      <c r="K100" s="2">
        <v>195.69930433742101</v>
      </c>
      <c r="L100" s="2">
        <v>61.15603111643</v>
      </c>
      <c r="M100" s="2">
        <f>SUM(Table1[[#This Row],[LineTotal]]+Table1[[#This Row],[TaxAmt]]+Table1[[#This Row],[Freight]])</f>
        <v>2296.8493354538509</v>
      </c>
      <c r="N100"/>
      <c r="O100"/>
      <c r="P100"/>
    </row>
    <row r="101" spans="1:16" x14ac:dyDescent="0.3">
      <c r="A101">
        <v>234</v>
      </c>
      <c r="B101">
        <v>43683</v>
      </c>
      <c r="C101" s="1">
        <v>40694</v>
      </c>
      <c r="D101">
        <v>708</v>
      </c>
      <c r="E101" t="s">
        <v>36</v>
      </c>
      <c r="F101" t="s">
        <v>29</v>
      </c>
      <c r="G101" t="s">
        <v>30</v>
      </c>
      <c r="H101">
        <v>1</v>
      </c>
      <c r="I101" s="2">
        <v>20.186499999999999</v>
      </c>
      <c r="J101" s="2">
        <v>20.186499999999999</v>
      </c>
      <c r="K101" s="2">
        <v>1.9365174637805</v>
      </c>
      <c r="L101" s="2">
        <v>0.60516169269700004</v>
      </c>
      <c r="M101" s="2">
        <f>SUM(Table1[[#This Row],[LineTotal]]+Table1[[#This Row],[TaxAmt]]+Table1[[#This Row],[Freight]])</f>
        <v>22.728179156477498</v>
      </c>
      <c r="N101"/>
      <c r="O101"/>
      <c r="P101"/>
    </row>
    <row r="102" spans="1:16" x14ac:dyDescent="0.3">
      <c r="A102">
        <v>235</v>
      </c>
      <c r="B102">
        <v>43683</v>
      </c>
      <c r="C102" s="1">
        <v>40694</v>
      </c>
      <c r="D102">
        <v>711</v>
      </c>
      <c r="E102" t="s">
        <v>28</v>
      </c>
      <c r="F102" t="s">
        <v>29</v>
      </c>
      <c r="G102" t="s">
        <v>30</v>
      </c>
      <c r="H102">
        <v>2</v>
      </c>
      <c r="I102" s="2">
        <v>20.186499999999999</v>
      </c>
      <c r="J102" s="2">
        <v>40.372999999999998</v>
      </c>
      <c r="K102" s="2">
        <v>3.8730349275609002</v>
      </c>
      <c r="L102" s="2">
        <v>1.2103233853941</v>
      </c>
      <c r="M102" s="2">
        <f>SUM(Table1[[#This Row],[LineTotal]]+Table1[[#This Row],[TaxAmt]]+Table1[[#This Row],[Freight]])</f>
        <v>45.456358312954997</v>
      </c>
      <c r="N102"/>
      <c r="O102"/>
      <c r="P102"/>
    </row>
    <row r="103" spans="1:16" x14ac:dyDescent="0.3">
      <c r="A103">
        <v>236</v>
      </c>
      <c r="B103">
        <v>43683</v>
      </c>
      <c r="C103" s="1">
        <v>40694</v>
      </c>
      <c r="D103">
        <v>712</v>
      </c>
      <c r="E103" t="s">
        <v>18</v>
      </c>
      <c r="F103" t="s">
        <v>19</v>
      </c>
      <c r="G103" t="s">
        <v>20</v>
      </c>
      <c r="H103">
        <v>3</v>
      </c>
      <c r="I103" s="2">
        <v>5.1864999999999997</v>
      </c>
      <c r="J103" s="2">
        <v>15.5595</v>
      </c>
      <c r="K103" s="2">
        <v>1.492643275342</v>
      </c>
      <c r="L103" s="2">
        <v>0.46645101218730001</v>
      </c>
      <c r="M103" s="2">
        <f>SUM(Table1[[#This Row],[LineTotal]]+Table1[[#This Row],[TaxAmt]]+Table1[[#This Row],[Freight]])</f>
        <v>17.5185942875293</v>
      </c>
      <c r="N103"/>
      <c r="O103"/>
      <c r="P103"/>
    </row>
    <row r="104" spans="1:16" x14ac:dyDescent="0.3">
      <c r="A104">
        <v>237</v>
      </c>
      <c r="B104">
        <v>43683</v>
      </c>
      <c r="C104" s="1">
        <v>40694</v>
      </c>
      <c r="D104">
        <v>775</v>
      </c>
      <c r="E104" t="s">
        <v>24</v>
      </c>
      <c r="F104" t="s">
        <v>25</v>
      </c>
      <c r="G104" t="s">
        <v>26</v>
      </c>
      <c r="H104">
        <v>4</v>
      </c>
      <c r="I104" s="2">
        <v>2024.9939999999999</v>
      </c>
      <c r="J104" s="2">
        <v>8099.9759999999997</v>
      </c>
      <c r="K104" s="2">
        <v>777.04133852835298</v>
      </c>
      <c r="L104" s="2">
        <v>242.82541237784801</v>
      </c>
      <c r="M104" s="2">
        <f>SUM(Table1[[#This Row],[LineTotal]]+Table1[[#This Row],[TaxAmt]]+Table1[[#This Row],[Freight]])</f>
        <v>9119.8427509062003</v>
      </c>
      <c r="N104"/>
      <c r="O104"/>
      <c r="P104"/>
    </row>
    <row r="105" spans="1:16" x14ac:dyDescent="0.3">
      <c r="A105">
        <v>238</v>
      </c>
      <c r="B105">
        <v>43683</v>
      </c>
      <c r="C105" s="1">
        <v>40694</v>
      </c>
      <c r="D105">
        <v>777</v>
      </c>
      <c r="E105" t="s">
        <v>35</v>
      </c>
      <c r="F105" t="s">
        <v>25</v>
      </c>
      <c r="G105" t="s">
        <v>26</v>
      </c>
      <c r="H105">
        <v>6</v>
      </c>
      <c r="I105" s="2">
        <v>2024.9939999999999</v>
      </c>
      <c r="J105" s="2">
        <v>12149.964</v>
      </c>
      <c r="K105" s="2">
        <v>1165.56200779253</v>
      </c>
      <c r="L105" s="2">
        <v>364.23811856677202</v>
      </c>
      <c r="M105" s="2">
        <f>SUM(Table1[[#This Row],[LineTotal]]+Table1[[#This Row],[TaxAmt]]+Table1[[#This Row],[Freight]])</f>
        <v>13679.764126359303</v>
      </c>
      <c r="N105"/>
      <c r="O105"/>
      <c r="P105"/>
    </row>
    <row r="106" spans="1:16" x14ac:dyDescent="0.3">
      <c r="A106">
        <v>239</v>
      </c>
      <c r="B106">
        <v>43683</v>
      </c>
      <c r="C106" s="1">
        <v>40694</v>
      </c>
      <c r="D106">
        <v>772</v>
      </c>
      <c r="E106" t="s">
        <v>67</v>
      </c>
      <c r="F106" t="s">
        <v>25</v>
      </c>
      <c r="G106" t="s">
        <v>26</v>
      </c>
      <c r="H106">
        <v>1</v>
      </c>
      <c r="I106" s="2">
        <v>2039.9939999999999</v>
      </c>
      <c r="J106" s="2">
        <v>2039.9939999999999</v>
      </c>
      <c r="K106" s="2">
        <v>195.69930433742101</v>
      </c>
      <c r="L106" s="2">
        <v>61.15603111643</v>
      </c>
      <c r="M106" s="2">
        <f>SUM(Table1[[#This Row],[LineTotal]]+Table1[[#This Row],[TaxAmt]]+Table1[[#This Row],[Freight]])</f>
        <v>2296.8493354538509</v>
      </c>
      <c r="N106"/>
      <c r="O106"/>
      <c r="P106"/>
    </row>
    <row r="107" spans="1:16" x14ac:dyDescent="0.3">
      <c r="A107">
        <v>240</v>
      </c>
      <c r="B107">
        <v>43683</v>
      </c>
      <c r="C107" s="1">
        <v>40694</v>
      </c>
      <c r="D107">
        <v>707</v>
      </c>
      <c r="E107" t="s">
        <v>61</v>
      </c>
      <c r="F107" t="s">
        <v>29</v>
      </c>
      <c r="G107" t="s">
        <v>30</v>
      </c>
      <c r="H107">
        <v>3</v>
      </c>
      <c r="I107" s="2">
        <v>20.186499999999999</v>
      </c>
      <c r="J107" s="2">
        <v>60.5595</v>
      </c>
      <c r="K107" s="2">
        <v>5.8095523913414002</v>
      </c>
      <c r="L107" s="2">
        <v>1.8154850780911</v>
      </c>
      <c r="M107" s="2">
        <f>SUM(Table1[[#This Row],[LineTotal]]+Table1[[#This Row],[TaxAmt]]+Table1[[#This Row],[Freight]])</f>
        <v>68.184537469432499</v>
      </c>
      <c r="N107"/>
      <c r="O107"/>
      <c r="P107"/>
    </row>
    <row r="108" spans="1:16" x14ac:dyDescent="0.3">
      <c r="A108">
        <v>241</v>
      </c>
      <c r="B108">
        <v>43683</v>
      </c>
      <c r="C108" s="1">
        <v>40694</v>
      </c>
      <c r="D108">
        <v>778</v>
      </c>
      <c r="E108" t="s">
        <v>27</v>
      </c>
      <c r="F108" t="s">
        <v>25</v>
      </c>
      <c r="G108" t="s">
        <v>26</v>
      </c>
      <c r="H108">
        <v>5</v>
      </c>
      <c r="I108" s="2">
        <v>2024.9939999999999</v>
      </c>
      <c r="J108" s="2">
        <v>10124.969999999999</v>
      </c>
      <c r="K108" s="2">
        <v>971.30167316044196</v>
      </c>
      <c r="L108" s="2">
        <v>303.53176547230998</v>
      </c>
      <c r="M108" s="2">
        <f>SUM(Table1[[#This Row],[LineTotal]]+Table1[[#This Row],[TaxAmt]]+Table1[[#This Row],[Freight]])</f>
        <v>11399.803438632751</v>
      </c>
      <c r="N108"/>
      <c r="O108"/>
      <c r="P108"/>
    </row>
    <row r="109" spans="1:16" x14ac:dyDescent="0.3">
      <c r="A109">
        <v>242</v>
      </c>
      <c r="B109">
        <v>43683</v>
      </c>
      <c r="C109" s="1">
        <v>40694</v>
      </c>
      <c r="D109">
        <v>709</v>
      </c>
      <c r="E109" t="s">
        <v>62</v>
      </c>
      <c r="F109" t="s">
        <v>63</v>
      </c>
      <c r="G109" t="s">
        <v>20</v>
      </c>
      <c r="H109">
        <v>6</v>
      </c>
      <c r="I109" s="2">
        <v>5.7</v>
      </c>
      <c r="J109" s="2">
        <v>34.200000000000003</v>
      </c>
      <c r="K109" s="2">
        <v>3.2808509281595</v>
      </c>
      <c r="L109" s="2">
        <v>1.0252658900869001</v>
      </c>
      <c r="M109" s="2">
        <f>SUM(Table1[[#This Row],[LineTotal]]+Table1[[#This Row],[TaxAmt]]+Table1[[#This Row],[Freight]])</f>
        <v>38.506116818246404</v>
      </c>
      <c r="N109"/>
      <c r="O109"/>
      <c r="P109"/>
    </row>
    <row r="110" spans="1:16" x14ac:dyDescent="0.3">
      <c r="A110">
        <v>253</v>
      </c>
      <c r="B110">
        <v>43686</v>
      </c>
      <c r="C110" s="1">
        <v>40694</v>
      </c>
      <c r="D110">
        <v>758</v>
      </c>
      <c r="E110" t="s">
        <v>51</v>
      </c>
      <c r="F110" t="s">
        <v>38</v>
      </c>
      <c r="G110" t="s">
        <v>26</v>
      </c>
      <c r="H110">
        <v>3</v>
      </c>
      <c r="I110" s="2">
        <v>874.79399999999998</v>
      </c>
      <c r="J110" s="2">
        <v>2624.3820000000001</v>
      </c>
      <c r="K110" s="2">
        <v>251.94068654916899</v>
      </c>
      <c r="L110" s="2">
        <v>78.7314645466153</v>
      </c>
      <c r="M110" s="2">
        <f>SUM(Table1[[#This Row],[LineTotal]]+Table1[[#This Row],[TaxAmt]]+Table1[[#This Row],[Freight]])</f>
        <v>2955.0541510957846</v>
      </c>
      <c r="N110"/>
      <c r="O110"/>
      <c r="P110"/>
    </row>
    <row r="111" spans="1:16" x14ac:dyDescent="0.3">
      <c r="A111">
        <v>254</v>
      </c>
      <c r="B111">
        <v>43686</v>
      </c>
      <c r="C111" s="1">
        <v>40694</v>
      </c>
      <c r="D111">
        <v>762</v>
      </c>
      <c r="E111" t="s">
        <v>44</v>
      </c>
      <c r="F111" t="s">
        <v>38</v>
      </c>
      <c r="G111" t="s">
        <v>26</v>
      </c>
      <c r="H111">
        <v>1</v>
      </c>
      <c r="I111" s="2">
        <v>419.45890000000003</v>
      </c>
      <c r="J111" s="2">
        <v>419.45890000000003</v>
      </c>
      <c r="K111" s="2">
        <v>40.268056725415498</v>
      </c>
      <c r="L111" s="2">
        <v>12.583767726692299</v>
      </c>
      <c r="M111" s="2">
        <f>SUM(Table1[[#This Row],[LineTotal]]+Table1[[#This Row],[TaxAmt]]+Table1[[#This Row],[Freight]])</f>
        <v>472.31072445210782</v>
      </c>
      <c r="N111"/>
      <c r="O111"/>
      <c r="P111"/>
    </row>
    <row r="112" spans="1:16" x14ac:dyDescent="0.3">
      <c r="A112">
        <v>255</v>
      </c>
      <c r="B112">
        <v>43686</v>
      </c>
      <c r="C112" s="1">
        <v>40694</v>
      </c>
      <c r="D112">
        <v>770</v>
      </c>
      <c r="E112" t="s">
        <v>39</v>
      </c>
      <c r="F112" t="s">
        <v>38</v>
      </c>
      <c r="G112" t="s">
        <v>26</v>
      </c>
      <c r="H112">
        <v>1</v>
      </c>
      <c r="I112" s="2">
        <v>419.45890000000003</v>
      </c>
      <c r="J112" s="2">
        <v>419.45890000000003</v>
      </c>
      <c r="K112" s="2">
        <v>40.268056725415498</v>
      </c>
      <c r="L112" s="2">
        <v>12.583767726692299</v>
      </c>
      <c r="M112" s="2">
        <f>SUM(Table1[[#This Row],[LineTotal]]+Table1[[#This Row],[TaxAmt]]+Table1[[#This Row],[Freight]])</f>
        <v>472.31072445210782</v>
      </c>
      <c r="N112"/>
      <c r="O112"/>
      <c r="P112"/>
    </row>
    <row r="113" spans="1:16" x14ac:dyDescent="0.3">
      <c r="A113">
        <v>509</v>
      </c>
      <c r="B113">
        <v>43844</v>
      </c>
      <c r="C113" s="1">
        <v>40725</v>
      </c>
      <c r="D113">
        <v>775</v>
      </c>
      <c r="E113" t="s">
        <v>24</v>
      </c>
      <c r="F113" t="s">
        <v>25</v>
      </c>
      <c r="G113" t="s">
        <v>26</v>
      </c>
      <c r="H113">
        <v>4</v>
      </c>
      <c r="I113" s="2">
        <v>2024.9939999999999</v>
      </c>
      <c r="J113" s="2">
        <v>8099.9759999999997</v>
      </c>
      <c r="K113" s="2">
        <v>777.59767999999997</v>
      </c>
      <c r="L113" s="2">
        <v>242.99928</v>
      </c>
      <c r="M113" s="2">
        <f>SUM(Table1[[#This Row],[LineTotal]]+Table1[[#This Row],[TaxAmt]]+Table1[[#This Row],[Freight]])</f>
        <v>9120.5729599999995</v>
      </c>
      <c r="N113"/>
      <c r="O113"/>
      <c r="P113"/>
    </row>
    <row r="114" spans="1:16" x14ac:dyDescent="0.3">
      <c r="A114">
        <v>510</v>
      </c>
      <c r="B114">
        <v>43844</v>
      </c>
      <c r="C114" s="1">
        <v>40725</v>
      </c>
      <c r="D114">
        <v>776</v>
      </c>
      <c r="E114" t="s">
        <v>32</v>
      </c>
      <c r="F114" t="s">
        <v>25</v>
      </c>
      <c r="G114" t="s">
        <v>26</v>
      </c>
      <c r="H114">
        <v>2</v>
      </c>
      <c r="I114" s="2">
        <v>2024.9939999999999</v>
      </c>
      <c r="J114" s="2">
        <v>4049.9879999999998</v>
      </c>
      <c r="K114" s="2">
        <v>388.79883999999998</v>
      </c>
      <c r="L114" s="2">
        <v>121.49964</v>
      </c>
      <c r="M114" s="2">
        <f>SUM(Table1[[#This Row],[LineTotal]]+Table1[[#This Row],[TaxAmt]]+Table1[[#This Row],[Freight]])</f>
        <v>4560.2864799999998</v>
      </c>
      <c r="N114"/>
      <c r="O114"/>
      <c r="P114"/>
    </row>
    <row r="115" spans="1:16" x14ac:dyDescent="0.3">
      <c r="A115">
        <v>511</v>
      </c>
      <c r="B115">
        <v>43844</v>
      </c>
      <c r="C115" s="1">
        <v>40725</v>
      </c>
      <c r="D115">
        <v>777</v>
      </c>
      <c r="E115" t="s">
        <v>35</v>
      </c>
      <c r="F115" t="s">
        <v>25</v>
      </c>
      <c r="G115" t="s">
        <v>26</v>
      </c>
      <c r="H115">
        <v>3</v>
      </c>
      <c r="I115" s="2">
        <v>2024.9939999999999</v>
      </c>
      <c r="J115" s="2">
        <v>6074.982</v>
      </c>
      <c r="K115" s="2">
        <v>583.19826</v>
      </c>
      <c r="L115" s="2">
        <v>182.24946</v>
      </c>
      <c r="M115" s="2">
        <f>SUM(Table1[[#This Row],[LineTotal]]+Table1[[#This Row],[TaxAmt]]+Table1[[#This Row],[Freight]])</f>
        <v>6840.4297200000001</v>
      </c>
      <c r="N115"/>
      <c r="O115"/>
      <c r="P115"/>
    </row>
    <row r="116" spans="1:16" x14ac:dyDescent="0.3">
      <c r="A116">
        <v>512</v>
      </c>
      <c r="B116">
        <v>43844</v>
      </c>
      <c r="C116" s="1">
        <v>40725</v>
      </c>
      <c r="D116">
        <v>778</v>
      </c>
      <c r="E116" t="s">
        <v>27</v>
      </c>
      <c r="F116" t="s">
        <v>25</v>
      </c>
      <c r="G116" t="s">
        <v>26</v>
      </c>
      <c r="H116">
        <v>1</v>
      </c>
      <c r="I116" s="2">
        <v>2024.9939999999999</v>
      </c>
      <c r="J116" s="2">
        <v>2024.9939999999999</v>
      </c>
      <c r="K116" s="2">
        <v>194.39941999999999</v>
      </c>
      <c r="L116" s="2">
        <v>60.74982</v>
      </c>
      <c r="M116" s="2">
        <f>SUM(Table1[[#This Row],[LineTotal]]+Table1[[#This Row],[TaxAmt]]+Table1[[#This Row],[Freight]])</f>
        <v>2280.1432399999999</v>
      </c>
      <c r="N116"/>
      <c r="O116"/>
      <c r="P116"/>
    </row>
    <row r="117" spans="1:16" x14ac:dyDescent="0.3">
      <c r="A117">
        <v>530</v>
      </c>
      <c r="B117">
        <v>43848</v>
      </c>
      <c r="C117" s="1">
        <v>40725</v>
      </c>
      <c r="D117">
        <v>773</v>
      </c>
      <c r="E117" t="s">
        <v>33</v>
      </c>
      <c r="F117" t="s">
        <v>25</v>
      </c>
      <c r="G117" t="s">
        <v>26</v>
      </c>
      <c r="H117">
        <v>1</v>
      </c>
      <c r="I117" s="2">
        <v>2039.9939999999999</v>
      </c>
      <c r="J117" s="2">
        <v>2039.9939999999999</v>
      </c>
      <c r="K117" s="2">
        <v>195.83942221346399</v>
      </c>
      <c r="L117" s="2">
        <v>61.199822233169201</v>
      </c>
      <c r="M117" s="2">
        <f>SUM(Table1[[#This Row],[LineTotal]]+Table1[[#This Row],[TaxAmt]]+Table1[[#This Row],[Freight]])</f>
        <v>2297.033244446633</v>
      </c>
      <c r="N117"/>
      <c r="O117"/>
      <c r="P117"/>
    </row>
    <row r="118" spans="1:16" x14ac:dyDescent="0.3">
      <c r="A118">
        <v>531</v>
      </c>
      <c r="B118">
        <v>43848</v>
      </c>
      <c r="C118" s="1">
        <v>40725</v>
      </c>
      <c r="D118">
        <v>778</v>
      </c>
      <c r="E118" t="s">
        <v>27</v>
      </c>
      <c r="F118" t="s">
        <v>25</v>
      </c>
      <c r="G118" t="s">
        <v>26</v>
      </c>
      <c r="H118">
        <v>1</v>
      </c>
      <c r="I118" s="2">
        <v>2024.9939999999999</v>
      </c>
      <c r="J118" s="2">
        <v>2024.9939999999999</v>
      </c>
      <c r="K118" s="2">
        <v>194.39942222660099</v>
      </c>
      <c r="L118" s="2">
        <v>60.749822216748797</v>
      </c>
      <c r="M118" s="2">
        <f>SUM(Table1[[#This Row],[LineTotal]]+Table1[[#This Row],[TaxAmt]]+Table1[[#This Row],[Freight]])</f>
        <v>2280.1432444433494</v>
      </c>
      <c r="N118"/>
      <c r="O118"/>
      <c r="P118"/>
    </row>
    <row r="119" spans="1:16" x14ac:dyDescent="0.3">
      <c r="A119">
        <v>532</v>
      </c>
      <c r="B119">
        <v>43848</v>
      </c>
      <c r="C119" s="1">
        <v>40725</v>
      </c>
      <c r="D119">
        <v>775</v>
      </c>
      <c r="E119" t="s">
        <v>24</v>
      </c>
      <c r="F119" t="s">
        <v>25</v>
      </c>
      <c r="G119" t="s">
        <v>26</v>
      </c>
      <c r="H119">
        <v>1</v>
      </c>
      <c r="I119" s="2">
        <v>2024.9939999999999</v>
      </c>
      <c r="J119" s="2">
        <v>2024.9939999999999</v>
      </c>
      <c r="K119" s="2">
        <v>194.39942222660099</v>
      </c>
      <c r="L119" s="2">
        <v>60.749822216748797</v>
      </c>
      <c r="M119" s="2">
        <f>SUM(Table1[[#This Row],[LineTotal]]+Table1[[#This Row],[TaxAmt]]+Table1[[#This Row],[Freight]])</f>
        <v>2280.1432444433494</v>
      </c>
      <c r="N119"/>
      <c r="O119"/>
      <c r="P119"/>
    </row>
    <row r="120" spans="1:16" x14ac:dyDescent="0.3">
      <c r="A120">
        <v>533</v>
      </c>
      <c r="B120">
        <v>43848</v>
      </c>
      <c r="C120" s="1">
        <v>40725</v>
      </c>
      <c r="D120">
        <v>776</v>
      </c>
      <c r="E120" t="s">
        <v>32</v>
      </c>
      <c r="F120" t="s">
        <v>25</v>
      </c>
      <c r="G120" t="s">
        <v>26</v>
      </c>
      <c r="H120">
        <v>4</v>
      </c>
      <c r="I120" s="2">
        <v>2024.9939999999999</v>
      </c>
      <c r="J120" s="2">
        <v>8099.9759999999997</v>
      </c>
      <c r="K120" s="2">
        <v>777.59768890640396</v>
      </c>
      <c r="L120" s="2">
        <v>242.99928886699499</v>
      </c>
      <c r="M120" s="2">
        <f>SUM(Table1[[#This Row],[LineTotal]]+Table1[[#This Row],[TaxAmt]]+Table1[[#This Row],[Freight]])</f>
        <v>9120.5729777733977</v>
      </c>
      <c r="N120"/>
      <c r="O120"/>
      <c r="P120"/>
    </row>
    <row r="121" spans="1:16" x14ac:dyDescent="0.3">
      <c r="A121">
        <v>534</v>
      </c>
      <c r="B121">
        <v>43848</v>
      </c>
      <c r="C121" s="1">
        <v>40725</v>
      </c>
      <c r="D121">
        <v>771</v>
      </c>
      <c r="E121" t="s">
        <v>68</v>
      </c>
      <c r="F121" t="s">
        <v>25</v>
      </c>
      <c r="G121" t="s">
        <v>26</v>
      </c>
      <c r="H121">
        <v>2</v>
      </c>
      <c r="I121" s="2">
        <v>2039.9939999999999</v>
      </c>
      <c r="J121" s="2">
        <v>4079.9879999999998</v>
      </c>
      <c r="K121" s="2">
        <v>391.678844426929</v>
      </c>
      <c r="L121" s="2">
        <v>122.399644466338</v>
      </c>
      <c r="M121" s="2">
        <f>SUM(Table1[[#This Row],[LineTotal]]+Table1[[#This Row],[TaxAmt]]+Table1[[#This Row],[Freight]])</f>
        <v>4594.066488893267</v>
      </c>
      <c r="N121"/>
      <c r="O121"/>
      <c r="P121"/>
    </row>
    <row r="122" spans="1:16" x14ac:dyDescent="0.3">
      <c r="A122">
        <v>546</v>
      </c>
      <c r="B122">
        <v>43850</v>
      </c>
      <c r="C122" s="1">
        <v>40725</v>
      </c>
      <c r="D122">
        <v>765</v>
      </c>
      <c r="E122" t="s">
        <v>45</v>
      </c>
      <c r="F122" t="s">
        <v>38</v>
      </c>
      <c r="G122" t="s">
        <v>26</v>
      </c>
      <c r="H122">
        <v>1</v>
      </c>
      <c r="I122" s="2">
        <v>419.45890000000003</v>
      </c>
      <c r="J122" s="2">
        <v>419.45890000000003</v>
      </c>
      <c r="K122" s="2">
        <v>40.486081889247899</v>
      </c>
      <c r="L122" s="2">
        <v>12.6518993032381</v>
      </c>
      <c r="M122" s="2">
        <f>SUM(Table1[[#This Row],[LineTotal]]+Table1[[#This Row],[TaxAmt]]+Table1[[#This Row],[Freight]])</f>
        <v>472.59688119248602</v>
      </c>
      <c r="N122"/>
      <c r="O122"/>
      <c r="P122"/>
    </row>
    <row r="123" spans="1:16" x14ac:dyDescent="0.3">
      <c r="A123">
        <v>547</v>
      </c>
      <c r="B123">
        <v>43850</v>
      </c>
      <c r="C123" s="1">
        <v>40725</v>
      </c>
      <c r="D123">
        <v>755</v>
      </c>
      <c r="E123" t="s">
        <v>60</v>
      </c>
      <c r="F123" t="s">
        <v>38</v>
      </c>
      <c r="G123" t="s">
        <v>26</v>
      </c>
      <c r="H123">
        <v>1</v>
      </c>
      <c r="I123" s="2">
        <v>874.79399999999998</v>
      </c>
      <c r="J123" s="2">
        <v>874.79399999999998</v>
      </c>
      <c r="K123" s="2">
        <v>84.434926807424404</v>
      </c>
      <c r="L123" s="2">
        <v>26.3859119429267</v>
      </c>
      <c r="M123" s="2">
        <f>SUM(Table1[[#This Row],[LineTotal]]+Table1[[#This Row],[TaxAmt]]+Table1[[#This Row],[Freight]])</f>
        <v>985.61483875035105</v>
      </c>
      <c r="N123"/>
      <c r="O123"/>
      <c r="P123"/>
    </row>
    <row r="124" spans="1:16" x14ac:dyDescent="0.3">
      <c r="A124">
        <v>548</v>
      </c>
      <c r="B124">
        <v>43850</v>
      </c>
      <c r="C124" s="1">
        <v>40725</v>
      </c>
      <c r="D124">
        <v>761</v>
      </c>
      <c r="E124" t="s">
        <v>64</v>
      </c>
      <c r="F124" t="s">
        <v>38</v>
      </c>
      <c r="G124" t="s">
        <v>26</v>
      </c>
      <c r="H124">
        <v>1</v>
      </c>
      <c r="I124" s="2">
        <v>419.45890000000003</v>
      </c>
      <c r="J124" s="2">
        <v>419.45890000000003</v>
      </c>
      <c r="K124" s="2">
        <v>40.486081889247899</v>
      </c>
      <c r="L124" s="2">
        <v>12.6518993032381</v>
      </c>
      <c r="M124" s="2">
        <f>SUM(Table1[[#This Row],[LineTotal]]+Table1[[#This Row],[TaxAmt]]+Table1[[#This Row],[Freight]])</f>
        <v>472.59688119248602</v>
      </c>
      <c r="N124"/>
      <c r="O124"/>
      <c r="P124"/>
    </row>
    <row r="125" spans="1:16" x14ac:dyDescent="0.3">
      <c r="A125">
        <v>549</v>
      </c>
      <c r="B125">
        <v>43850</v>
      </c>
      <c r="C125" s="1">
        <v>40725</v>
      </c>
      <c r="D125">
        <v>762</v>
      </c>
      <c r="E125" t="s">
        <v>44</v>
      </c>
      <c r="F125" t="s">
        <v>38</v>
      </c>
      <c r="G125" t="s">
        <v>26</v>
      </c>
      <c r="H125">
        <v>2</v>
      </c>
      <c r="I125" s="2">
        <v>419.45890000000003</v>
      </c>
      <c r="J125" s="2">
        <v>838.91780000000006</v>
      </c>
      <c r="K125" s="2">
        <v>80.972163778495897</v>
      </c>
      <c r="L125" s="2">
        <v>25.303798606476299</v>
      </c>
      <c r="M125" s="2">
        <f>SUM(Table1[[#This Row],[LineTotal]]+Table1[[#This Row],[TaxAmt]]+Table1[[#This Row],[Freight]])</f>
        <v>945.19376238497227</v>
      </c>
      <c r="N125"/>
      <c r="O125"/>
      <c r="P125"/>
    </row>
    <row r="126" spans="1:16" x14ac:dyDescent="0.3">
      <c r="A126">
        <v>550</v>
      </c>
      <c r="B126">
        <v>43850</v>
      </c>
      <c r="C126" s="1">
        <v>40725</v>
      </c>
      <c r="D126">
        <v>753</v>
      </c>
      <c r="E126" t="s">
        <v>47</v>
      </c>
      <c r="F126" t="s">
        <v>38</v>
      </c>
      <c r="G126" t="s">
        <v>26</v>
      </c>
      <c r="H126">
        <v>1</v>
      </c>
      <c r="I126" s="2">
        <v>2146.962</v>
      </c>
      <c r="J126" s="2">
        <v>2146.962</v>
      </c>
      <c r="K126" s="2">
        <v>207.22430575463599</v>
      </c>
      <c r="L126" s="2">
        <v>64.757588960155104</v>
      </c>
      <c r="M126" s="2">
        <f>SUM(Table1[[#This Row],[LineTotal]]+Table1[[#This Row],[TaxAmt]]+Table1[[#This Row],[Freight]])</f>
        <v>2418.9438947147914</v>
      </c>
      <c r="N126"/>
      <c r="O126"/>
      <c r="P126"/>
    </row>
    <row r="127" spans="1:16" x14ac:dyDescent="0.3">
      <c r="A127">
        <v>551</v>
      </c>
      <c r="B127">
        <v>43850</v>
      </c>
      <c r="C127" s="1">
        <v>40725</v>
      </c>
      <c r="D127">
        <v>725</v>
      </c>
      <c r="E127" t="s">
        <v>43</v>
      </c>
      <c r="F127" t="s">
        <v>41</v>
      </c>
      <c r="G127" t="s">
        <v>15</v>
      </c>
      <c r="H127">
        <v>3</v>
      </c>
      <c r="I127" s="2">
        <v>183.93819999999999</v>
      </c>
      <c r="J127" s="2">
        <v>551.81460000000004</v>
      </c>
      <c r="K127" s="2">
        <v>53.2610252954046</v>
      </c>
      <c r="L127" s="2">
        <v>16.644068711515299</v>
      </c>
      <c r="M127" s="2">
        <f>SUM(Table1[[#This Row],[LineTotal]]+Table1[[#This Row],[TaxAmt]]+Table1[[#This Row],[Freight]])</f>
        <v>621.71969400691989</v>
      </c>
      <c r="N127"/>
      <c r="O127"/>
      <c r="P127"/>
    </row>
    <row r="128" spans="1:16" x14ac:dyDescent="0.3">
      <c r="A128">
        <v>552</v>
      </c>
      <c r="B128">
        <v>43850</v>
      </c>
      <c r="C128" s="1">
        <v>40725</v>
      </c>
      <c r="D128">
        <v>729</v>
      </c>
      <c r="E128" t="s">
        <v>52</v>
      </c>
      <c r="F128" t="s">
        <v>41</v>
      </c>
      <c r="G128" t="s">
        <v>15</v>
      </c>
      <c r="H128">
        <v>1</v>
      </c>
      <c r="I128" s="2">
        <v>183.93819999999999</v>
      </c>
      <c r="J128" s="2">
        <v>183.93819999999999</v>
      </c>
      <c r="K128" s="2">
        <v>17.7536750984682</v>
      </c>
      <c r="L128" s="2">
        <v>5.5480229038384001</v>
      </c>
      <c r="M128" s="2">
        <f>SUM(Table1[[#This Row],[LineTotal]]+Table1[[#This Row],[TaxAmt]]+Table1[[#This Row],[Freight]])</f>
        <v>207.23989800230657</v>
      </c>
      <c r="N128"/>
      <c r="O128"/>
      <c r="P128"/>
    </row>
    <row r="129" spans="1:16" x14ac:dyDescent="0.3">
      <c r="A129">
        <v>553</v>
      </c>
      <c r="B129">
        <v>43850</v>
      </c>
      <c r="C129" s="1">
        <v>40725</v>
      </c>
      <c r="D129">
        <v>758</v>
      </c>
      <c r="E129" t="s">
        <v>51</v>
      </c>
      <c r="F129" t="s">
        <v>38</v>
      </c>
      <c r="G129" t="s">
        <v>26</v>
      </c>
      <c r="H129">
        <v>3</v>
      </c>
      <c r="I129" s="2">
        <v>874.79399999999998</v>
      </c>
      <c r="J129" s="2">
        <v>2624.3820000000001</v>
      </c>
      <c r="K129" s="2">
        <v>253.30478042227301</v>
      </c>
      <c r="L129" s="2">
        <v>79.157735828780204</v>
      </c>
      <c r="M129" s="2">
        <f>SUM(Table1[[#This Row],[LineTotal]]+Table1[[#This Row],[TaxAmt]]+Table1[[#This Row],[Freight]])</f>
        <v>2956.8445162510529</v>
      </c>
      <c r="N129"/>
      <c r="O129"/>
      <c r="P129"/>
    </row>
    <row r="130" spans="1:16" x14ac:dyDescent="0.3">
      <c r="A130">
        <v>554</v>
      </c>
      <c r="B130">
        <v>43850</v>
      </c>
      <c r="C130" s="1">
        <v>40725</v>
      </c>
      <c r="D130">
        <v>756</v>
      </c>
      <c r="E130" t="s">
        <v>48</v>
      </c>
      <c r="F130" t="s">
        <v>38</v>
      </c>
      <c r="G130" t="s">
        <v>26</v>
      </c>
      <c r="H130">
        <v>1</v>
      </c>
      <c r="I130" s="2">
        <v>874.79399999999998</v>
      </c>
      <c r="J130" s="2">
        <v>874.79399999999998</v>
      </c>
      <c r="K130" s="2">
        <v>84.434926807424404</v>
      </c>
      <c r="L130" s="2">
        <v>26.3859119429267</v>
      </c>
      <c r="M130" s="2">
        <f>SUM(Table1[[#This Row],[LineTotal]]+Table1[[#This Row],[TaxAmt]]+Table1[[#This Row],[Freight]])</f>
        <v>985.61483875035105</v>
      </c>
      <c r="N130"/>
      <c r="O130"/>
      <c r="P130"/>
    </row>
    <row r="131" spans="1:16" x14ac:dyDescent="0.3">
      <c r="A131">
        <v>555</v>
      </c>
      <c r="B131">
        <v>43850</v>
      </c>
      <c r="C131" s="1">
        <v>40725</v>
      </c>
      <c r="D131">
        <v>732</v>
      </c>
      <c r="E131" t="s">
        <v>50</v>
      </c>
      <c r="F131" t="s">
        <v>41</v>
      </c>
      <c r="G131" t="s">
        <v>15</v>
      </c>
      <c r="H131">
        <v>3</v>
      </c>
      <c r="I131" s="2">
        <v>356.89800000000002</v>
      </c>
      <c r="J131" s="2">
        <v>1070.694</v>
      </c>
      <c r="K131" s="2">
        <v>103.343152242869</v>
      </c>
      <c r="L131" s="2">
        <v>32.294731790364402</v>
      </c>
      <c r="M131" s="2">
        <f>SUM(Table1[[#This Row],[LineTotal]]+Table1[[#This Row],[TaxAmt]]+Table1[[#This Row],[Freight]])</f>
        <v>1206.3318840332336</v>
      </c>
      <c r="N131"/>
      <c r="O131"/>
      <c r="P131"/>
    </row>
    <row r="132" spans="1:16" x14ac:dyDescent="0.3">
      <c r="A132">
        <v>556</v>
      </c>
      <c r="B132">
        <v>43850</v>
      </c>
      <c r="C132" s="1">
        <v>40725</v>
      </c>
      <c r="D132">
        <v>738</v>
      </c>
      <c r="E132" t="s">
        <v>58</v>
      </c>
      <c r="F132" t="s">
        <v>41</v>
      </c>
      <c r="G132" t="s">
        <v>15</v>
      </c>
      <c r="H132">
        <v>1</v>
      </c>
      <c r="I132" s="2">
        <v>178.58080000000001</v>
      </c>
      <c r="J132" s="2">
        <v>178.58080000000001</v>
      </c>
      <c r="K132" s="2">
        <v>17.236580014507801</v>
      </c>
      <c r="L132" s="2">
        <v>5.3864307065404997</v>
      </c>
      <c r="M132" s="2">
        <f>SUM(Table1[[#This Row],[LineTotal]]+Table1[[#This Row],[TaxAmt]]+Table1[[#This Row],[Freight]])</f>
        <v>201.20381072104831</v>
      </c>
      <c r="N132"/>
      <c r="O132"/>
      <c r="P132"/>
    </row>
    <row r="133" spans="1:16" x14ac:dyDescent="0.3">
      <c r="A133">
        <v>569</v>
      </c>
      <c r="B133">
        <v>43852</v>
      </c>
      <c r="C133" s="1">
        <v>40725</v>
      </c>
      <c r="D133">
        <v>776</v>
      </c>
      <c r="E133" t="s">
        <v>32</v>
      </c>
      <c r="F133" t="s">
        <v>25</v>
      </c>
      <c r="G133" t="s">
        <v>26</v>
      </c>
      <c r="H133">
        <v>1</v>
      </c>
      <c r="I133" s="2">
        <v>2024.9939999999999</v>
      </c>
      <c r="J133" s="2">
        <v>2024.9939999999999</v>
      </c>
      <c r="K133" s="2">
        <v>194.39940000000001</v>
      </c>
      <c r="L133" s="2">
        <v>60.7498</v>
      </c>
      <c r="M133" s="2">
        <f>SUM(Table1[[#This Row],[LineTotal]]+Table1[[#This Row],[TaxAmt]]+Table1[[#This Row],[Freight]])</f>
        <v>2280.1432</v>
      </c>
      <c r="N133"/>
      <c r="O133"/>
      <c r="P133"/>
    </row>
    <row r="134" spans="1:16" x14ac:dyDescent="0.3">
      <c r="A134">
        <v>570</v>
      </c>
      <c r="B134">
        <v>43853</v>
      </c>
      <c r="C134" s="1">
        <v>40725</v>
      </c>
      <c r="D134">
        <v>777</v>
      </c>
      <c r="E134" t="s">
        <v>35</v>
      </c>
      <c r="F134" t="s">
        <v>25</v>
      </c>
      <c r="G134" t="s">
        <v>26</v>
      </c>
      <c r="H134">
        <v>2</v>
      </c>
      <c r="I134" s="2">
        <v>2024.9939999999999</v>
      </c>
      <c r="J134" s="2">
        <v>4049.9879999999998</v>
      </c>
      <c r="K134" s="2">
        <v>388.79884615594699</v>
      </c>
      <c r="L134" s="2">
        <v>121.499646146841</v>
      </c>
      <c r="M134" s="2">
        <f>SUM(Table1[[#This Row],[LineTotal]]+Table1[[#This Row],[TaxAmt]]+Table1[[#This Row],[Freight]])</f>
        <v>4560.2864923027873</v>
      </c>
      <c r="N134"/>
      <c r="O134"/>
      <c r="P134"/>
    </row>
    <row r="135" spans="1:16" x14ac:dyDescent="0.3">
      <c r="A135">
        <v>571</v>
      </c>
      <c r="B135">
        <v>43853</v>
      </c>
      <c r="C135" s="1">
        <v>40725</v>
      </c>
      <c r="D135">
        <v>773</v>
      </c>
      <c r="E135" t="s">
        <v>33</v>
      </c>
      <c r="F135" t="s">
        <v>25</v>
      </c>
      <c r="G135" t="s">
        <v>26</v>
      </c>
      <c r="H135">
        <v>1</v>
      </c>
      <c r="I135" s="2">
        <v>2039.9939999999999</v>
      </c>
      <c r="J135" s="2">
        <v>2039.9939999999999</v>
      </c>
      <c r="K135" s="2">
        <v>195.83942307114401</v>
      </c>
      <c r="L135" s="2">
        <v>61.199823096186698</v>
      </c>
      <c r="M135" s="2">
        <f>SUM(Table1[[#This Row],[LineTotal]]+Table1[[#This Row],[TaxAmt]]+Table1[[#This Row],[Freight]])</f>
        <v>2297.0332461673306</v>
      </c>
      <c r="N135"/>
      <c r="O135"/>
      <c r="P135"/>
    </row>
    <row r="136" spans="1:16" x14ac:dyDescent="0.3">
      <c r="A136">
        <v>572</v>
      </c>
      <c r="B136">
        <v>43853</v>
      </c>
      <c r="C136" s="1">
        <v>40725</v>
      </c>
      <c r="D136">
        <v>771</v>
      </c>
      <c r="E136" t="s">
        <v>68</v>
      </c>
      <c r="F136" t="s">
        <v>25</v>
      </c>
      <c r="G136" t="s">
        <v>26</v>
      </c>
      <c r="H136">
        <v>1</v>
      </c>
      <c r="I136" s="2">
        <v>2039.9939999999999</v>
      </c>
      <c r="J136" s="2">
        <v>2039.9939999999999</v>
      </c>
      <c r="K136" s="2">
        <v>195.83942307114401</v>
      </c>
      <c r="L136" s="2">
        <v>61.199823096186698</v>
      </c>
      <c r="M136" s="2">
        <f>SUM(Table1[[#This Row],[LineTotal]]+Table1[[#This Row],[TaxAmt]]+Table1[[#This Row],[Freight]])</f>
        <v>2297.0332461673306</v>
      </c>
      <c r="N136"/>
      <c r="O136"/>
      <c r="P136"/>
    </row>
    <row r="137" spans="1:16" x14ac:dyDescent="0.3">
      <c r="A137">
        <v>573</v>
      </c>
      <c r="B137">
        <v>43853</v>
      </c>
      <c r="C137" s="1">
        <v>40725</v>
      </c>
      <c r="D137">
        <v>776</v>
      </c>
      <c r="E137" t="s">
        <v>32</v>
      </c>
      <c r="F137" t="s">
        <v>25</v>
      </c>
      <c r="G137" t="s">
        <v>26</v>
      </c>
      <c r="H137">
        <v>4</v>
      </c>
      <c r="I137" s="2">
        <v>2024.9939999999999</v>
      </c>
      <c r="J137" s="2">
        <v>8099.9759999999997</v>
      </c>
      <c r="K137" s="2">
        <v>777.597692311895</v>
      </c>
      <c r="L137" s="2">
        <v>242.999292293682</v>
      </c>
      <c r="M137" s="2">
        <f>SUM(Table1[[#This Row],[LineTotal]]+Table1[[#This Row],[TaxAmt]]+Table1[[#This Row],[Freight]])</f>
        <v>9120.5729846055765</v>
      </c>
      <c r="N137"/>
      <c r="O137"/>
      <c r="P137"/>
    </row>
    <row r="138" spans="1:16" x14ac:dyDescent="0.3">
      <c r="A138">
        <v>574</v>
      </c>
      <c r="B138">
        <v>43853</v>
      </c>
      <c r="C138" s="1">
        <v>40725</v>
      </c>
      <c r="D138">
        <v>775</v>
      </c>
      <c r="E138" t="s">
        <v>24</v>
      </c>
      <c r="F138" t="s">
        <v>25</v>
      </c>
      <c r="G138" t="s">
        <v>26</v>
      </c>
      <c r="H138">
        <v>2</v>
      </c>
      <c r="I138" s="2">
        <v>2024.9939999999999</v>
      </c>
      <c r="J138" s="2">
        <v>4049.9879999999998</v>
      </c>
      <c r="K138" s="2">
        <v>388.79884615594699</v>
      </c>
      <c r="L138" s="2">
        <v>121.499646146841</v>
      </c>
      <c r="M138" s="2">
        <f>SUM(Table1[[#This Row],[LineTotal]]+Table1[[#This Row],[TaxAmt]]+Table1[[#This Row],[Freight]])</f>
        <v>4560.2864923027873</v>
      </c>
      <c r="N138"/>
      <c r="O138"/>
      <c r="P138"/>
    </row>
    <row r="139" spans="1:16" x14ac:dyDescent="0.3">
      <c r="A139">
        <v>575</v>
      </c>
      <c r="B139">
        <v>43853</v>
      </c>
      <c r="C139" s="1">
        <v>40725</v>
      </c>
      <c r="D139">
        <v>778</v>
      </c>
      <c r="E139" t="s">
        <v>27</v>
      </c>
      <c r="F139" t="s">
        <v>25</v>
      </c>
      <c r="G139" t="s">
        <v>26</v>
      </c>
      <c r="H139">
        <v>3</v>
      </c>
      <c r="I139" s="2">
        <v>2024.9939999999999</v>
      </c>
      <c r="J139" s="2">
        <v>6074.982</v>
      </c>
      <c r="K139" s="2">
        <v>583.198269233921</v>
      </c>
      <c r="L139" s="2">
        <v>182.24946922026101</v>
      </c>
      <c r="M139" s="2">
        <f>SUM(Table1[[#This Row],[LineTotal]]+Table1[[#This Row],[TaxAmt]]+Table1[[#This Row],[Freight]])</f>
        <v>6840.4297384541815</v>
      </c>
      <c r="N139"/>
      <c r="O139"/>
      <c r="P139"/>
    </row>
    <row r="140" spans="1:16" x14ac:dyDescent="0.3">
      <c r="A140">
        <v>576</v>
      </c>
      <c r="B140">
        <v>43854</v>
      </c>
      <c r="C140" s="1">
        <v>40725</v>
      </c>
      <c r="D140">
        <v>758</v>
      </c>
      <c r="E140" t="s">
        <v>51</v>
      </c>
      <c r="F140" t="s">
        <v>38</v>
      </c>
      <c r="G140" t="s">
        <v>26</v>
      </c>
      <c r="H140">
        <v>2</v>
      </c>
      <c r="I140" s="2">
        <v>874.79399999999998</v>
      </c>
      <c r="J140" s="2">
        <v>1749.588</v>
      </c>
      <c r="K140" s="2">
        <v>167.96039999999999</v>
      </c>
      <c r="L140" s="2">
        <v>52.4876</v>
      </c>
      <c r="M140" s="2">
        <f>SUM(Table1[[#This Row],[LineTotal]]+Table1[[#This Row],[TaxAmt]]+Table1[[#This Row],[Freight]])</f>
        <v>1970.0359999999998</v>
      </c>
      <c r="N140"/>
      <c r="O140"/>
      <c r="P140"/>
    </row>
    <row r="141" spans="1:16" x14ac:dyDescent="0.3">
      <c r="A141">
        <v>590</v>
      </c>
      <c r="B141">
        <v>43856</v>
      </c>
      <c r="C141" s="1">
        <v>40725</v>
      </c>
      <c r="D141">
        <v>709</v>
      </c>
      <c r="E141" t="s">
        <v>62</v>
      </c>
      <c r="F141" t="s">
        <v>63</v>
      </c>
      <c r="G141" t="s">
        <v>20</v>
      </c>
      <c r="H141">
        <v>2</v>
      </c>
      <c r="I141" s="2">
        <v>5.7</v>
      </c>
      <c r="J141" s="2">
        <v>11.4</v>
      </c>
      <c r="K141" s="2">
        <v>1.0938042245263</v>
      </c>
      <c r="L141" s="2">
        <v>0.34181403009439998</v>
      </c>
      <c r="M141" s="2">
        <f>SUM(Table1[[#This Row],[LineTotal]]+Table1[[#This Row],[TaxAmt]]+Table1[[#This Row],[Freight]])</f>
        <v>12.8356182546207</v>
      </c>
      <c r="N141"/>
      <c r="O141"/>
      <c r="P141"/>
    </row>
    <row r="142" spans="1:16" x14ac:dyDescent="0.3">
      <c r="A142">
        <v>591</v>
      </c>
      <c r="B142">
        <v>43856</v>
      </c>
      <c r="C142" s="1">
        <v>40725</v>
      </c>
      <c r="D142">
        <v>777</v>
      </c>
      <c r="E142" t="s">
        <v>35</v>
      </c>
      <c r="F142" t="s">
        <v>25</v>
      </c>
      <c r="G142" t="s">
        <v>26</v>
      </c>
      <c r="H142">
        <v>1</v>
      </c>
      <c r="I142" s="2">
        <v>2024.9939999999999</v>
      </c>
      <c r="J142" s="2">
        <v>2024.9939999999999</v>
      </c>
      <c r="K142" s="2">
        <v>194.29359577547299</v>
      </c>
      <c r="L142" s="2">
        <v>60.716785969905601</v>
      </c>
      <c r="M142" s="2">
        <f>SUM(Table1[[#This Row],[LineTotal]]+Table1[[#This Row],[TaxAmt]]+Table1[[#This Row],[Freight]])</f>
        <v>2280.0043817453784</v>
      </c>
      <c r="N142"/>
      <c r="O142"/>
      <c r="P142"/>
    </row>
    <row r="143" spans="1:16" x14ac:dyDescent="0.3">
      <c r="A143">
        <v>592</v>
      </c>
      <c r="B143">
        <v>43857</v>
      </c>
      <c r="C143" s="1">
        <v>40725</v>
      </c>
      <c r="D143">
        <v>760</v>
      </c>
      <c r="E143" t="s">
        <v>55</v>
      </c>
      <c r="F143" t="s">
        <v>38</v>
      </c>
      <c r="G143" t="s">
        <v>26</v>
      </c>
      <c r="H143">
        <v>1</v>
      </c>
      <c r="I143" s="2">
        <v>419.45890000000003</v>
      </c>
      <c r="J143" s="2">
        <v>419.45890000000003</v>
      </c>
      <c r="K143" s="2">
        <v>40.218117563575902</v>
      </c>
      <c r="L143" s="2">
        <v>12.5681588202516</v>
      </c>
      <c r="M143" s="2">
        <f>SUM(Table1[[#This Row],[LineTotal]]+Table1[[#This Row],[TaxAmt]]+Table1[[#This Row],[Freight]])</f>
        <v>472.24517638382753</v>
      </c>
      <c r="N143"/>
      <c r="O143"/>
      <c r="P143"/>
    </row>
    <row r="144" spans="1:16" x14ac:dyDescent="0.3">
      <c r="A144">
        <v>593</v>
      </c>
      <c r="B144">
        <v>43857</v>
      </c>
      <c r="C144" s="1">
        <v>40725</v>
      </c>
      <c r="D144">
        <v>765</v>
      </c>
      <c r="E144" t="s">
        <v>45</v>
      </c>
      <c r="F144" t="s">
        <v>38</v>
      </c>
      <c r="G144" t="s">
        <v>26</v>
      </c>
      <c r="H144">
        <v>1</v>
      </c>
      <c r="I144" s="2">
        <v>419.45890000000003</v>
      </c>
      <c r="J144" s="2">
        <v>419.45890000000003</v>
      </c>
      <c r="K144" s="2">
        <v>40.218117563575902</v>
      </c>
      <c r="L144" s="2">
        <v>12.5681588202516</v>
      </c>
      <c r="M144" s="2">
        <f>SUM(Table1[[#This Row],[LineTotal]]+Table1[[#This Row],[TaxAmt]]+Table1[[#This Row],[Freight]])</f>
        <v>472.24517638382753</v>
      </c>
      <c r="N144"/>
      <c r="O144"/>
      <c r="P144"/>
    </row>
    <row r="145" spans="1:16" x14ac:dyDescent="0.3">
      <c r="A145">
        <v>594</v>
      </c>
      <c r="B145">
        <v>43857</v>
      </c>
      <c r="C145" s="1">
        <v>40725</v>
      </c>
      <c r="D145">
        <v>762</v>
      </c>
      <c r="E145" t="s">
        <v>44</v>
      </c>
      <c r="F145" t="s">
        <v>38</v>
      </c>
      <c r="G145" t="s">
        <v>26</v>
      </c>
      <c r="H145">
        <v>2</v>
      </c>
      <c r="I145" s="2">
        <v>419.45890000000003</v>
      </c>
      <c r="J145" s="2">
        <v>838.91780000000006</v>
      </c>
      <c r="K145" s="2">
        <v>80.436235127151903</v>
      </c>
      <c r="L145" s="2">
        <v>25.136317640503101</v>
      </c>
      <c r="M145" s="2">
        <f>SUM(Table1[[#This Row],[LineTotal]]+Table1[[#This Row],[TaxAmt]]+Table1[[#This Row],[Freight]])</f>
        <v>944.49035276765505</v>
      </c>
      <c r="N145"/>
      <c r="O145"/>
      <c r="P145"/>
    </row>
    <row r="146" spans="1:16" x14ac:dyDescent="0.3">
      <c r="A146">
        <v>595</v>
      </c>
      <c r="B146">
        <v>43857</v>
      </c>
      <c r="C146" s="1">
        <v>40725</v>
      </c>
      <c r="D146">
        <v>758</v>
      </c>
      <c r="E146" t="s">
        <v>51</v>
      </c>
      <c r="F146" t="s">
        <v>38</v>
      </c>
      <c r="G146" t="s">
        <v>26</v>
      </c>
      <c r="H146">
        <v>3</v>
      </c>
      <c r="I146" s="2">
        <v>874.79399999999998</v>
      </c>
      <c r="J146" s="2">
        <v>2624.3820000000001</v>
      </c>
      <c r="K146" s="2">
        <v>251.62823773135401</v>
      </c>
      <c r="L146" s="2">
        <v>78.633806032031799</v>
      </c>
      <c r="M146" s="2">
        <f>SUM(Table1[[#This Row],[LineTotal]]+Table1[[#This Row],[TaxAmt]]+Table1[[#This Row],[Freight]])</f>
        <v>2954.644043763386</v>
      </c>
      <c r="N146"/>
      <c r="O146"/>
      <c r="P146"/>
    </row>
    <row r="147" spans="1:16" x14ac:dyDescent="0.3">
      <c r="A147">
        <v>596</v>
      </c>
      <c r="B147">
        <v>43857</v>
      </c>
      <c r="C147" s="1">
        <v>40725</v>
      </c>
      <c r="D147">
        <v>715</v>
      </c>
      <c r="E147" t="s">
        <v>21</v>
      </c>
      <c r="F147" t="s">
        <v>22</v>
      </c>
      <c r="G147" t="s">
        <v>20</v>
      </c>
      <c r="H147">
        <v>1</v>
      </c>
      <c r="I147" s="2">
        <v>28.840399999999999</v>
      </c>
      <c r="J147" s="2">
        <v>28.840399999999999</v>
      </c>
      <c r="K147" s="2">
        <v>2.7652449328899</v>
      </c>
      <c r="L147" s="2">
        <v>0.86413884087229997</v>
      </c>
      <c r="M147" s="2">
        <f>SUM(Table1[[#This Row],[LineTotal]]+Table1[[#This Row],[TaxAmt]]+Table1[[#This Row],[Freight]])</f>
        <v>32.469783773762195</v>
      </c>
      <c r="N147"/>
      <c r="O147"/>
      <c r="P147"/>
    </row>
    <row r="148" spans="1:16" x14ac:dyDescent="0.3">
      <c r="A148">
        <v>597</v>
      </c>
      <c r="B148">
        <v>43857</v>
      </c>
      <c r="C148" s="1">
        <v>40725</v>
      </c>
      <c r="D148">
        <v>712</v>
      </c>
      <c r="E148" t="s">
        <v>18</v>
      </c>
      <c r="F148" t="s">
        <v>19</v>
      </c>
      <c r="G148" t="s">
        <v>20</v>
      </c>
      <c r="H148">
        <v>3</v>
      </c>
      <c r="I148" s="2">
        <v>5.1864999999999997</v>
      </c>
      <c r="J148" s="2">
        <v>15.5595</v>
      </c>
      <c r="K148" s="2">
        <v>1.4918596320890001</v>
      </c>
      <c r="L148" s="2">
        <v>0.46620602677329998</v>
      </c>
      <c r="M148" s="2">
        <f>SUM(Table1[[#This Row],[LineTotal]]+Table1[[#This Row],[TaxAmt]]+Table1[[#This Row],[Freight]])</f>
        <v>17.517565658862299</v>
      </c>
      <c r="N148"/>
      <c r="O148"/>
      <c r="P148"/>
    </row>
    <row r="149" spans="1:16" x14ac:dyDescent="0.3">
      <c r="A149">
        <v>598</v>
      </c>
      <c r="B149">
        <v>43857</v>
      </c>
      <c r="C149" s="1">
        <v>40725</v>
      </c>
      <c r="D149">
        <v>716</v>
      </c>
      <c r="E149" t="s">
        <v>34</v>
      </c>
      <c r="F149" t="s">
        <v>22</v>
      </c>
      <c r="G149" t="s">
        <v>20</v>
      </c>
      <c r="H149">
        <v>1</v>
      </c>
      <c r="I149" s="2">
        <v>28.840399999999999</v>
      </c>
      <c r="J149" s="2">
        <v>28.840399999999999</v>
      </c>
      <c r="K149" s="2">
        <v>2.7652449328899</v>
      </c>
      <c r="L149" s="2">
        <v>0.86413884087229997</v>
      </c>
      <c r="M149" s="2">
        <f>SUM(Table1[[#This Row],[LineTotal]]+Table1[[#This Row],[TaxAmt]]+Table1[[#This Row],[Freight]])</f>
        <v>32.469783773762195</v>
      </c>
      <c r="N149"/>
      <c r="O149"/>
      <c r="P149"/>
    </row>
    <row r="150" spans="1:16" x14ac:dyDescent="0.3">
      <c r="A150">
        <v>599</v>
      </c>
      <c r="B150">
        <v>43857</v>
      </c>
      <c r="C150" s="1">
        <v>40725</v>
      </c>
      <c r="D150">
        <v>725</v>
      </c>
      <c r="E150" t="s">
        <v>43</v>
      </c>
      <c r="F150" t="s">
        <v>41</v>
      </c>
      <c r="G150" t="s">
        <v>15</v>
      </c>
      <c r="H150">
        <v>1</v>
      </c>
      <c r="I150" s="2">
        <v>183.93819999999999</v>
      </c>
      <c r="J150" s="2">
        <v>183.93819999999999</v>
      </c>
      <c r="K150" s="2">
        <v>17.636169245741499</v>
      </c>
      <c r="L150" s="2">
        <v>5.5113016095527003</v>
      </c>
      <c r="M150" s="2">
        <f>SUM(Table1[[#This Row],[LineTotal]]+Table1[[#This Row],[TaxAmt]]+Table1[[#This Row],[Freight]])</f>
        <v>207.08567085529418</v>
      </c>
      <c r="N150"/>
      <c r="O150"/>
      <c r="P150"/>
    </row>
    <row r="151" spans="1:16" x14ac:dyDescent="0.3">
      <c r="A151">
        <v>600</v>
      </c>
      <c r="B151">
        <v>43857</v>
      </c>
      <c r="C151" s="1">
        <v>40725</v>
      </c>
      <c r="D151">
        <v>711</v>
      </c>
      <c r="E151" t="s">
        <v>28</v>
      </c>
      <c r="F151" t="s">
        <v>29</v>
      </c>
      <c r="G151" t="s">
        <v>30</v>
      </c>
      <c r="H151">
        <v>2</v>
      </c>
      <c r="I151" s="2">
        <v>20.186499999999999</v>
      </c>
      <c r="J151" s="2">
        <v>40.372999999999998</v>
      </c>
      <c r="K151" s="2">
        <v>3.8710015698659999</v>
      </c>
      <c r="L151" s="2">
        <v>1.2096877096898</v>
      </c>
      <c r="M151" s="2">
        <f>SUM(Table1[[#This Row],[LineTotal]]+Table1[[#This Row],[TaxAmt]]+Table1[[#This Row],[Freight]])</f>
        <v>45.453689279555803</v>
      </c>
      <c r="N151"/>
      <c r="O151"/>
      <c r="P151"/>
    </row>
    <row r="152" spans="1:16" x14ac:dyDescent="0.3">
      <c r="A152">
        <v>601</v>
      </c>
      <c r="B152">
        <v>43857</v>
      </c>
      <c r="C152" s="1">
        <v>40725</v>
      </c>
      <c r="D152">
        <v>708</v>
      </c>
      <c r="E152" t="s">
        <v>36</v>
      </c>
      <c r="F152" t="s">
        <v>29</v>
      </c>
      <c r="G152" t="s">
        <v>30</v>
      </c>
      <c r="H152">
        <v>1</v>
      </c>
      <c r="I152" s="2">
        <v>20.186499999999999</v>
      </c>
      <c r="J152" s="2">
        <v>20.186499999999999</v>
      </c>
      <c r="K152" s="2">
        <v>1.9355007849329999</v>
      </c>
      <c r="L152" s="2">
        <v>0.6048438548449</v>
      </c>
      <c r="M152" s="2">
        <f>SUM(Table1[[#This Row],[LineTotal]]+Table1[[#This Row],[TaxAmt]]+Table1[[#This Row],[Freight]])</f>
        <v>22.726844639777902</v>
      </c>
      <c r="N152"/>
      <c r="O152"/>
      <c r="P152"/>
    </row>
    <row r="153" spans="1:16" x14ac:dyDescent="0.3">
      <c r="A153">
        <v>602</v>
      </c>
      <c r="B153">
        <v>43857</v>
      </c>
      <c r="C153" s="1">
        <v>40725</v>
      </c>
      <c r="D153">
        <v>738</v>
      </c>
      <c r="E153" t="s">
        <v>58</v>
      </c>
      <c r="F153" t="s">
        <v>41</v>
      </c>
      <c r="G153" t="s">
        <v>15</v>
      </c>
      <c r="H153">
        <v>2</v>
      </c>
      <c r="I153" s="2">
        <v>178.58080000000001</v>
      </c>
      <c r="J153" s="2">
        <v>357.16160000000002</v>
      </c>
      <c r="K153" s="2">
        <v>34.244993294920903</v>
      </c>
      <c r="L153" s="2">
        <v>10.701557919727399</v>
      </c>
      <c r="M153" s="2">
        <f>SUM(Table1[[#This Row],[LineTotal]]+Table1[[#This Row],[TaxAmt]]+Table1[[#This Row],[Freight]])</f>
        <v>402.10815121464833</v>
      </c>
      <c r="N153"/>
      <c r="O153"/>
      <c r="P153"/>
    </row>
    <row r="154" spans="1:16" x14ac:dyDescent="0.3">
      <c r="A154">
        <v>603</v>
      </c>
      <c r="B154">
        <v>43857</v>
      </c>
      <c r="C154" s="1">
        <v>40725</v>
      </c>
      <c r="D154">
        <v>763</v>
      </c>
      <c r="E154" t="s">
        <v>49</v>
      </c>
      <c r="F154" t="s">
        <v>38</v>
      </c>
      <c r="G154" t="s">
        <v>26</v>
      </c>
      <c r="H154">
        <v>1</v>
      </c>
      <c r="I154" s="2">
        <v>419.45890000000003</v>
      </c>
      <c r="J154" s="2">
        <v>419.45890000000003</v>
      </c>
      <c r="K154" s="2">
        <v>40.218117563575902</v>
      </c>
      <c r="L154" s="2">
        <v>12.5681588202516</v>
      </c>
      <c r="M154" s="2">
        <f>SUM(Table1[[#This Row],[LineTotal]]+Table1[[#This Row],[TaxAmt]]+Table1[[#This Row],[Freight]])</f>
        <v>472.24517638382753</v>
      </c>
      <c r="N154"/>
      <c r="O154"/>
      <c r="P154"/>
    </row>
    <row r="155" spans="1:16" x14ac:dyDescent="0.3">
      <c r="A155">
        <v>604</v>
      </c>
      <c r="B155">
        <v>43857</v>
      </c>
      <c r="C155" s="1">
        <v>40725</v>
      </c>
      <c r="D155">
        <v>754</v>
      </c>
      <c r="E155" t="s">
        <v>42</v>
      </c>
      <c r="F155" t="s">
        <v>38</v>
      </c>
      <c r="G155" t="s">
        <v>26</v>
      </c>
      <c r="H155">
        <v>2</v>
      </c>
      <c r="I155" s="2">
        <v>874.79399999999998</v>
      </c>
      <c r="J155" s="2">
        <v>1749.588</v>
      </c>
      <c r="K155" s="2">
        <v>167.75215848756901</v>
      </c>
      <c r="L155" s="2">
        <v>52.422537354687798</v>
      </c>
      <c r="M155" s="2">
        <f>SUM(Table1[[#This Row],[LineTotal]]+Table1[[#This Row],[TaxAmt]]+Table1[[#This Row],[Freight]])</f>
        <v>1969.7626958422568</v>
      </c>
      <c r="N155"/>
      <c r="O155"/>
      <c r="P155"/>
    </row>
    <row r="156" spans="1:16" x14ac:dyDescent="0.3">
      <c r="A156">
        <v>605</v>
      </c>
      <c r="B156">
        <v>43857</v>
      </c>
      <c r="C156" s="1">
        <v>40725</v>
      </c>
      <c r="D156">
        <v>707</v>
      </c>
      <c r="E156" t="s">
        <v>61</v>
      </c>
      <c r="F156" t="s">
        <v>29</v>
      </c>
      <c r="G156" t="s">
        <v>30</v>
      </c>
      <c r="H156">
        <v>2</v>
      </c>
      <c r="I156" s="2">
        <v>20.186499999999999</v>
      </c>
      <c r="J156" s="2">
        <v>40.372999999999998</v>
      </c>
      <c r="K156" s="2">
        <v>3.8710015698659999</v>
      </c>
      <c r="L156" s="2">
        <v>1.2096877096898</v>
      </c>
      <c r="M156" s="2">
        <f>SUM(Table1[[#This Row],[LineTotal]]+Table1[[#This Row],[TaxAmt]]+Table1[[#This Row],[Freight]])</f>
        <v>45.453689279555803</v>
      </c>
      <c r="N156"/>
      <c r="O156"/>
      <c r="P156"/>
    </row>
    <row r="157" spans="1:16" x14ac:dyDescent="0.3">
      <c r="A157">
        <v>719</v>
      </c>
      <c r="B157">
        <v>43868</v>
      </c>
      <c r="C157" s="1">
        <v>40725</v>
      </c>
      <c r="D157">
        <v>749</v>
      </c>
      <c r="E157" t="s">
        <v>54</v>
      </c>
      <c r="F157" t="s">
        <v>38</v>
      </c>
      <c r="G157" t="s">
        <v>26</v>
      </c>
      <c r="H157">
        <v>1</v>
      </c>
      <c r="I157" s="2">
        <v>2146.962</v>
      </c>
      <c r="J157" s="2">
        <v>2146.962</v>
      </c>
      <c r="K157" s="2">
        <v>206.10839999999999</v>
      </c>
      <c r="L157" s="2">
        <v>64.408900000000003</v>
      </c>
      <c r="M157" s="2">
        <f>SUM(Table1[[#This Row],[LineTotal]]+Table1[[#This Row],[TaxAmt]]+Table1[[#This Row],[Freight]])</f>
        <v>2417.4793</v>
      </c>
      <c r="N157"/>
      <c r="O157"/>
      <c r="P157"/>
    </row>
    <row r="158" spans="1:16" x14ac:dyDescent="0.3">
      <c r="A158">
        <v>835</v>
      </c>
      <c r="B158">
        <v>43879</v>
      </c>
      <c r="C158" s="1">
        <v>40725</v>
      </c>
      <c r="D158">
        <v>762</v>
      </c>
      <c r="E158" t="s">
        <v>44</v>
      </c>
      <c r="F158" t="s">
        <v>38</v>
      </c>
      <c r="G158" t="s">
        <v>26</v>
      </c>
      <c r="H158">
        <v>3</v>
      </c>
      <c r="I158" s="2">
        <v>419.45890000000003</v>
      </c>
      <c r="J158" s="2">
        <v>1258.3767</v>
      </c>
      <c r="K158" s="2">
        <v>120.971288010587</v>
      </c>
      <c r="L158" s="2">
        <v>37.803526779063603</v>
      </c>
      <c r="M158" s="2">
        <f>SUM(Table1[[#This Row],[LineTotal]]+Table1[[#This Row],[TaxAmt]]+Table1[[#This Row],[Freight]])</f>
        <v>1417.1515147896505</v>
      </c>
      <c r="N158"/>
      <c r="O158"/>
      <c r="P158"/>
    </row>
    <row r="159" spans="1:16" x14ac:dyDescent="0.3">
      <c r="A159">
        <v>836</v>
      </c>
      <c r="B159">
        <v>43879</v>
      </c>
      <c r="C159" s="1">
        <v>40725</v>
      </c>
      <c r="D159">
        <v>763</v>
      </c>
      <c r="E159" t="s">
        <v>49</v>
      </c>
      <c r="F159" t="s">
        <v>38</v>
      </c>
      <c r="G159" t="s">
        <v>26</v>
      </c>
      <c r="H159">
        <v>2</v>
      </c>
      <c r="I159" s="2">
        <v>419.45890000000003</v>
      </c>
      <c r="J159" s="2">
        <v>838.91780000000006</v>
      </c>
      <c r="K159" s="2">
        <v>80.647525340391994</v>
      </c>
      <c r="L159" s="2">
        <v>25.202351186042399</v>
      </c>
      <c r="M159" s="2">
        <f>SUM(Table1[[#This Row],[LineTotal]]+Table1[[#This Row],[TaxAmt]]+Table1[[#This Row],[Freight]])</f>
        <v>944.76767652643446</v>
      </c>
      <c r="N159"/>
      <c r="O159"/>
      <c r="P159"/>
    </row>
    <row r="160" spans="1:16" x14ac:dyDescent="0.3">
      <c r="A160">
        <v>837</v>
      </c>
      <c r="B160">
        <v>43879</v>
      </c>
      <c r="C160" s="1">
        <v>40725</v>
      </c>
      <c r="D160">
        <v>760</v>
      </c>
      <c r="E160" t="s">
        <v>55</v>
      </c>
      <c r="F160" t="s">
        <v>38</v>
      </c>
      <c r="G160" t="s">
        <v>26</v>
      </c>
      <c r="H160">
        <v>3</v>
      </c>
      <c r="I160" s="2">
        <v>419.45890000000003</v>
      </c>
      <c r="J160" s="2">
        <v>1258.3767</v>
      </c>
      <c r="K160" s="2">
        <v>120.971288010587</v>
      </c>
      <c r="L160" s="2">
        <v>37.803526779063603</v>
      </c>
      <c r="M160" s="2">
        <f>SUM(Table1[[#This Row],[LineTotal]]+Table1[[#This Row],[TaxAmt]]+Table1[[#This Row],[Freight]])</f>
        <v>1417.1515147896505</v>
      </c>
      <c r="N160"/>
      <c r="O160"/>
      <c r="P160"/>
    </row>
    <row r="161" spans="1:16" x14ac:dyDescent="0.3">
      <c r="A161">
        <v>838</v>
      </c>
      <c r="B161">
        <v>43879</v>
      </c>
      <c r="C161" s="1">
        <v>40725</v>
      </c>
      <c r="D161">
        <v>764</v>
      </c>
      <c r="E161" t="s">
        <v>37</v>
      </c>
      <c r="F161" t="s">
        <v>38</v>
      </c>
      <c r="G161" t="s">
        <v>26</v>
      </c>
      <c r="H161">
        <v>2</v>
      </c>
      <c r="I161" s="2">
        <v>419.45890000000003</v>
      </c>
      <c r="J161" s="2">
        <v>838.91780000000006</v>
      </c>
      <c r="K161" s="2">
        <v>80.647525340391994</v>
      </c>
      <c r="L161" s="2">
        <v>25.202351186042399</v>
      </c>
      <c r="M161" s="2">
        <f>SUM(Table1[[#This Row],[LineTotal]]+Table1[[#This Row],[TaxAmt]]+Table1[[#This Row],[Freight]])</f>
        <v>944.76767652643446</v>
      </c>
      <c r="N161"/>
      <c r="O161"/>
      <c r="P161"/>
    </row>
    <row r="162" spans="1:16" x14ac:dyDescent="0.3">
      <c r="A162">
        <v>839</v>
      </c>
      <c r="B162">
        <v>43879</v>
      </c>
      <c r="C162" s="1">
        <v>40725</v>
      </c>
      <c r="D162">
        <v>715</v>
      </c>
      <c r="E162" t="s">
        <v>21</v>
      </c>
      <c r="F162" t="s">
        <v>22</v>
      </c>
      <c r="G162" t="s">
        <v>20</v>
      </c>
      <c r="H162">
        <v>2</v>
      </c>
      <c r="I162" s="2">
        <v>28.840399999999999</v>
      </c>
      <c r="J162" s="2">
        <v>57.680799999999998</v>
      </c>
      <c r="K162" s="2">
        <v>5.5450173779291001</v>
      </c>
      <c r="L162" s="2">
        <v>1.7328178974052999</v>
      </c>
      <c r="M162" s="2">
        <f>SUM(Table1[[#This Row],[LineTotal]]+Table1[[#This Row],[TaxAmt]]+Table1[[#This Row],[Freight]])</f>
        <v>64.958635275334402</v>
      </c>
      <c r="N162"/>
      <c r="O162"/>
      <c r="P162"/>
    </row>
    <row r="163" spans="1:16" x14ac:dyDescent="0.3">
      <c r="A163">
        <v>840</v>
      </c>
      <c r="B163">
        <v>43879</v>
      </c>
      <c r="C163" s="1">
        <v>40725</v>
      </c>
      <c r="D163">
        <v>725</v>
      </c>
      <c r="E163" t="s">
        <v>43</v>
      </c>
      <c r="F163" t="s">
        <v>41</v>
      </c>
      <c r="G163" t="s">
        <v>15</v>
      </c>
      <c r="H163">
        <v>4</v>
      </c>
      <c r="I163" s="2">
        <v>183.93819999999999</v>
      </c>
      <c r="J163" s="2">
        <v>735.75279999999998</v>
      </c>
      <c r="K163" s="2">
        <v>70.729984013051507</v>
      </c>
      <c r="L163" s="2">
        <v>22.103119580624</v>
      </c>
      <c r="M163" s="2">
        <f>SUM(Table1[[#This Row],[LineTotal]]+Table1[[#This Row],[TaxAmt]]+Table1[[#This Row],[Freight]])</f>
        <v>828.58590359367554</v>
      </c>
      <c r="N163"/>
      <c r="O163"/>
      <c r="P163"/>
    </row>
    <row r="164" spans="1:16" x14ac:dyDescent="0.3">
      <c r="A164">
        <v>841</v>
      </c>
      <c r="B164">
        <v>43879</v>
      </c>
      <c r="C164" s="1">
        <v>40725</v>
      </c>
      <c r="D164">
        <v>714</v>
      </c>
      <c r="E164" t="s">
        <v>65</v>
      </c>
      <c r="F164" t="s">
        <v>22</v>
      </c>
      <c r="G164" t="s">
        <v>20</v>
      </c>
      <c r="H164">
        <v>4</v>
      </c>
      <c r="I164" s="2">
        <v>28.840399999999999</v>
      </c>
      <c r="J164" s="2">
        <v>115.3616</v>
      </c>
      <c r="K164" s="2">
        <v>11.0900347558583</v>
      </c>
      <c r="L164" s="2">
        <v>3.4656357948105998</v>
      </c>
      <c r="M164" s="2">
        <f>SUM(Table1[[#This Row],[LineTotal]]+Table1[[#This Row],[TaxAmt]]+Table1[[#This Row],[Freight]])</f>
        <v>129.91727055066889</v>
      </c>
      <c r="N164"/>
      <c r="O164"/>
      <c r="P164"/>
    </row>
    <row r="165" spans="1:16" x14ac:dyDescent="0.3">
      <c r="A165">
        <v>842</v>
      </c>
      <c r="B165">
        <v>43879</v>
      </c>
      <c r="C165" s="1">
        <v>40725</v>
      </c>
      <c r="D165">
        <v>770</v>
      </c>
      <c r="E165" t="s">
        <v>39</v>
      </c>
      <c r="F165" t="s">
        <v>38</v>
      </c>
      <c r="G165" t="s">
        <v>26</v>
      </c>
      <c r="H165">
        <v>4</v>
      </c>
      <c r="I165" s="2">
        <v>419.45890000000003</v>
      </c>
      <c r="J165" s="2">
        <v>1677.8356000000001</v>
      </c>
      <c r="K165" s="2">
        <v>161.29505068078299</v>
      </c>
      <c r="L165" s="2">
        <v>50.404702372084799</v>
      </c>
      <c r="M165" s="2">
        <f>SUM(Table1[[#This Row],[LineTotal]]+Table1[[#This Row],[TaxAmt]]+Table1[[#This Row],[Freight]])</f>
        <v>1889.535353052868</v>
      </c>
      <c r="N165"/>
      <c r="O165"/>
      <c r="P165"/>
    </row>
    <row r="166" spans="1:16" x14ac:dyDescent="0.3">
      <c r="A166">
        <v>843</v>
      </c>
      <c r="B166">
        <v>43879</v>
      </c>
      <c r="C166" s="1">
        <v>40725</v>
      </c>
      <c r="D166">
        <v>730</v>
      </c>
      <c r="E166" t="s">
        <v>40</v>
      </c>
      <c r="F166" t="s">
        <v>41</v>
      </c>
      <c r="G166" t="s">
        <v>15</v>
      </c>
      <c r="H166">
        <v>3</v>
      </c>
      <c r="I166" s="2">
        <v>183.93819999999999</v>
      </c>
      <c r="J166" s="2">
        <v>551.81460000000004</v>
      </c>
      <c r="K166" s="2">
        <v>53.047488009788601</v>
      </c>
      <c r="L166" s="2">
        <v>16.577339685468001</v>
      </c>
      <c r="M166" s="2">
        <f>SUM(Table1[[#This Row],[LineTotal]]+Table1[[#This Row],[TaxAmt]]+Table1[[#This Row],[Freight]])</f>
        <v>621.43942769525665</v>
      </c>
      <c r="N166"/>
      <c r="O166"/>
      <c r="P166"/>
    </row>
    <row r="167" spans="1:16" x14ac:dyDescent="0.3">
      <c r="A167">
        <v>844</v>
      </c>
      <c r="B167">
        <v>43879</v>
      </c>
      <c r="C167" s="1">
        <v>40725</v>
      </c>
      <c r="D167">
        <v>754</v>
      </c>
      <c r="E167" t="s">
        <v>42</v>
      </c>
      <c r="F167" t="s">
        <v>38</v>
      </c>
      <c r="G167" t="s">
        <v>26</v>
      </c>
      <c r="H167">
        <v>2</v>
      </c>
      <c r="I167" s="2">
        <v>874.79399999999998</v>
      </c>
      <c r="J167" s="2">
        <v>1749.588</v>
      </c>
      <c r="K167" s="2">
        <v>168.19281050568401</v>
      </c>
      <c r="L167" s="2">
        <v>52.560252276069903</v>
      </c>
      <c r="M167" s="2">
        <f>SUM(Table1[[#This Row],[LineTotal]]+Table1[[#This Row],[TaxAmt]]+Table1[[#This Row],[Freight]])</f>
        <v>1970.3410627817539</v>
      </c>
      <c r="N167"/>
      <c r="O167"/>
      <c r="P167"/>
    </row>
    <row r="168" spans="1:16" x14ac:dyDescent="0.3">
      <c r="A168">
        <v>845</v>
      </c>
      <c r="B168">
        <v>43879</v>
      </c>
      <c r="C168" s="1">
        <v>40725</v>
      </c>
      <c r="D168">
        <v>726</v>
      </c>
      <c r="E168" t="s">
        <v>56</v>
      </c>
      <c r="F168" t="s">
        <v>41</v>
      </c>
      <c r="G168" t="s">
        <v>15</v>
      </c>
      <c r="H168">
        <v>2</v>
      </c>
      <c r="I168" s="2">
        <v>183.93819999999999</v>
      </c>
      <c r="J168" s="2">
        <v>367.87639999999999</v>
      </c>
      <c r="K168" s="2">
        <v>35.364992006525704</v>
      </c>
      <c r="L168" s="2">
        <v>11.051559790312</v>
      </c>
      <c r="M168" s="2">
        <f>SUM(Table1[[#This Row],[LineTotal]]+Table1[[#This Row],[TaxAmt]]+Table1[[#This Row],[Freight]])</f>
        <v>414.29295179683771</v>
      </c>
      <c r="N168"/>
      <c r="O168"/>
      <c r="P168"/>
    </row>
    <row r="169" spans="1:16" x14ac:dyDescent="0.3">
      <c r="A169">
        <v>846</v>
      </c>
      <c r="B169">
        <v>43879</v>
      </c>
      <c r="C169" s="1">
        <v>40725</v>
      </c>
      <c r="D169">
        <v>716</v>
      </c>
      <c r="E169" t="s">
        <v>34</v>
      </c>
      <c r="F169" t="s">
        <v>22</v>
      </c>
      <c r="G169" t="s">
        <v>20</v>
      </c>
      <c r="H169">
        <v>1</v>
      </c>
      <c r="I169" s="2">
        <v>28.840399999999999</v>
      </c>
      <c r="J169" s="2">
        <v>28.840399999999999</v>
      </c>
      <c r="K169" s="2">
        <v>2.7725086889645998</v>
      </c>
      <c r="L169" s="2">
        <v>0.86640894870259999</v>
      </c>
      <c r="M169" s="2">
        <f>SUM(Table1[[#This Row],[LineTotal]]+Table1[[#This Row],[TaxAmt]]+Table1[[#This Row],[Freight]])</f>
        <v>32.479317637667201</v>
      </c>
      <c r="N169"/>
      <c r="O169"/>
      <c r="P169"/>
    </row>
    <row r="170" spans="1:16" x14ac:dyDescent="0.3">
      <c r="A170">
        <v>847</v>
      </c>
      <c r="B170">
        <v>43879</v>
      </c>
      <c r="C170" s="1">
        <v>40725</v>
      </c>
      <c r="D170">
        <v>766</v>
      </c>
      <c r="E170" t="s">
        <v>59</v>
      </c>
      <c r="F170" t="s">
        <v>38</v>
      </c>
      <c r="G170" t="s">
        <v>26</v>
      </c>
      <c r="H170">
        <v>2</v>
      </c>
      <c r="I170" s="2">
        <v>419.45890000000003</v>
      </c>
      <c r="J170" s="2">
        <v>838.91780000000006</v>
      </c>
      <c r="K170" s="2">
        <v>80.647525340391994</v>
      </c>
      <c r="L170" s="2">
        <v>25.202351186042399</v>
      </c>
      <c r="M170" s="2">
        <f>SUM(Table1[[#This Row],[LineTotal]]+Table1[[#This Row],[TaxAmt]]+Table1[[#This Row],[Freight]])</f>
        <v>944.76767652643446</v>
      </c>
      <c r="N170"/>
      <c r="O170"/>
      <c r="P170"/>
    </row>
    <row r="171" spans="1:16" x14ac:dyDescent="0.3">
      <c r="A171">
        <v>848</v>
      </c>
      <c r="B171">
        <v>43879</v>
      </c>
      <c r="C171" s="1">
        <v>40725</v>
      </c>
      <c r="D171">
        <v>765</v>
      </c>
      <c r="E171" t="s">
        <v>45</v>
      </c>
      <c r="F171" t="s">
        <v>38</v>
      </c>
      <c r="G171" t="s">
        <v>26</v>
      </c>
      <c r="H171">
        <v>3</v>
      </c>
      <c r="I171" s="2">
        <v>419.45890000000003</v>
      </c>
      <c r="J171" s="2">
        <v>1258.3767</v>
      </c>
      <c r="K171" s="2">
        <v>120.971288010587</v>
      </c>
      <c r="L171" s="2">
        <v>37.803526779063603</v>
      </c>
      <c r="M171" s="2">
        <f>SUM(Table1[[#This Row],[LineTotal]]+Table1[[#This Row],[TaxAmt]]+Table1[[#This Row],[Freight]])</f>
        <v>1417.1515147896505</v>
      </c>
      <c r="N171"/>
      <c r="O171"/>
      <c r="P171"/>
    </row>
    <row r="172" spans="1:16" x14ac:dyDescent="0.3">
      <c r="A172">
        <v>849</v>
      </c>
      <c r="B172">
        <v>43879</v>
      </c>
      <c r="C172" s="1">
        <v>40725</v>
      </c>
      <c r="D172">
        <v>729</v>
      </c>
      <c r="E172" t="s">
        <v>52</v>
      </c>
      <c r="F172" t="s">
        <v>41</v>
      </c>
      <c r="G172" t="s">
        <v>15</v>
      </c>
      <c r="H172">
        <v>3</v>
      </c>
      <c r="I172" s="2">
        <v>183.93819999999999</v>
      </c>
      <c r="J172" s="2">
        <v>551.81460000000004</v>
      </c>
      <c r="K172" s="2">
        <v>53.047488009788601</v>
      </c>
      <c r="L172" s="2">
        <v>16.577339685468001</v>
      </c>
      <c r="M172" s="2">
        <f>SUM(Table1[[#This Row],[LineTotal]]+Table1[[#This Row],[TaxAmt]]+Table1[[#This Row],[Freight]])</f>
        <v>621.43942769525665</v>
      </c>
      <c r="N172"/>
      <c r="O172"/>
      <c r="P172"/>
    </row>
    <row r="173" spans="1:16" x14ac:dyDescent="0.3">
      <c r="A173">
        <v>850</v>
      </c>
      <c r="B173">
        <v>43879</v>
      </c>
      <c r="C173" s="1">
        <v>40725</v>
      </c>
      <c r="D173">
        <v>768</v>
      </c>
      <c r="E173" t="s">
        <v>46</v>
      </c>
      <c r="F173" t="s">
        <v>38</v>
      </c>
      <c r="G173" t="s">
        <v>26</v>
      </c>
      <c r="H173">
        <v>1</v>
      </c>
      <c r="I173" s="2">
        <v>419.45890000000003</v>
      </c>
      <c r="J173" s="2">
        <v>419.45890000000003</v>
      </c>
      <c r="K173" s="2">
        <v>40.323762670195997</v>
      </c>
      <c r="L173" s="2">
        <v>12.6011755930212</v>
      </c>
      <c r="M173" s="2">
        <f>SUM(Table1[[#This Row],[LineTotal]]+Table1[[#This Row],[TaxAmt]]+Table1[[#This Row],[Freight]])</f>
        <v>472.38383826321723</v>
      </c>
      <c r="N173"/>
      <c r="O173"/>
      <c r="P173"/>
    </row>
    <row r="174" spans="1:16" x14ac:dyDescent="0.3">
      <c r="A174">
        <v>851</v>
      </c>
      <c r="B174">
        <v>43879</v>
      </c>
      <c r="C174" s="1">
        <v>40725</v>
      </c>
      <c r="D174">
        <v>708</v>
      </c>
      <c r="E174" t="s">
        <v>36</v>
      </c>
      <c r="F174" t="s">
        <v>29</v>
      </c>
      <c r="G174" t="s">
        <v>30</v>
      </c>
      <c r="H174">
        <v>5</v>
      </c>
      <c r="I174" s="2">
        <v>20.186499999999999</v>
      </c>
      <c r="J174" s="2">
        <v>100.9325</v>
      </c>
      <c r="K174" s="2">
        <v>9.7029248293683992</v>
      </c>
      <c r="L174" s="2">
        <v>3.032163951087</v>
      </c>
      <c r="M174" s="2">
        <f>SUM(Table1[[#This Row],[LineTotal]]+Table1[[#This Row],[TaxAmt]]+Table1[[#This Row],[Freight]])</f>
        <v>113.6675887804554</v>
      </c>
      <c r="N174"/>
      <c r="O174"/>
      <c r="P174"/>
    </row>
    <row r="175" spans="1:16" x14ac:dyDescent="0.3">
      <c r="A175">
        <v>852</v>
      </c>
      <c r="B175">
        <v>43879</v>
      </c>
      <c r="C175" s="1">
        <v>40725</v>
      </c>
      <c r="D175">
        <v>758</v>
      </c>
      <c r="E175" t="s">
        <v>51</v>
      </c>
      <c r="F175" t="s">
        <v>38</v>
      </c>
      <c r="G175" t="s">
        <v>26</v>
      </c>
      <c r="H175">
        <v>3</v>
      </c>
      <c r="I175" s="2">
        <v>874.79399999999998</v>
      </c>
      <c r="J175" s="2">
        <v>2624.3820000000001</v>
      </c>
      <c r="K175" s="2">
        <v>252.28921575852601</v>
      </c>
      <c r="L175" s="2">
        <v>78.840378414104904</v>
      </c>
      <c r="M175" s="2">
        <f>SUM(Table1[[#This Row],[LineTotal]]+Table1[[#This Row],[TaxAmt]]+Table1[[#This Row],[Freight]])</f>
        <v>2955.5115941726312</v>
      </c>
      <c r="N175"/>
      <c r="O175"/>
      <c r="P175"/>
    </row>
    <row r="176" spans="1:16" x14ac:dyDescent="0.3">
      <c r="A176">
        <v>853</v>
      </c>
      <c r="B176">
        <v>43879</v>
      </c>
      <c r="C176" s="1">
        <v>40725</v>
      </c>
      <c r="D176">
        <v>756</v>
      </c>
      <c r="E176" t="s">
        <v>48</v>
      </c>
      <c r="F176" t="s">
        <v>38</v>
      </c>
      <c r="G176" t="s">
        <v>26</v>
      </c>
      <c r="H176">
        <v>1</v>
      </c>
      <c r="I176" s="2">
        <v>874.79399999999998</v>
      </c>
      <c r="J176" s="2">
        <v>874.79399999999998</v>
      </c>
      <c r="K176" s="2">
        <v>84.096405252842203</v>
      </c>
      <c r="L176" s="2">
        <v>26.280126138035001</v>
      </c>
      <c r="M176" s="2">
        <f>SUM(Table1[[#This Row],[LineTotal]]+Table1[[#This Row],[TaxAmt]]+Table1[[#This Row],[Freight]])</f>
        <v>985.17053139087716</v>
      </c>
      <c r="N176"/>
      <c r="O176"/>
      <c r="P176"/>
    </row>
    <row r="177" spans="1:16" x14ac:dyDescent="0.3">
      <c r="A177">
        <v>854</v>
      </c>
      <c r="B177">
        <v>43879</v>
      </c>
      <c r="C177" s="1">
        <v>40725</v>
      </c>
      <c r="D177">
        <v>738</v>
      </c>
      <c r="E177" t="s">
        <v>58</v>
      </c>
      <c r="F177" t="s">
        <v>41</v>
      </c>
      <c r="G177" t="s">
        <v>15</v>
      </c>
      <c r="H177">
        <v>3</v>
      </c>
      <c r="I177" s="2">
        <v>178.58080000000001</v>
      </c>
      <c r="J177" s="2">
        <v>535.74239999999998</v>
      </c>
      <c r="K177" s="2">
        <v>51.5024222634475</v>
      </c>
      <c r="L177" s="2">
        <v>16.094506648986599</v>
      </c>
      <c r="M177" s="2">
        <f>SUM(Table1[[#This Row],[LineTotal]]+Table1[[#This Row],[TaxAmt]]+Table1[[#This Row],[Freight]])</f>
        <v>603.3393289124341</v>
      </c>
      <c r="N177"/>
      <c r="O177"/>
      <c r="P177"/>
    </row>
    <row r="178" spans="1:16" x14ac:dyDescent="0.3">
      <c r="A178">
        <v>855</v>
      </c>
      <c r="B178">
        <v>43879</v>
      </c>
      <c r="C178" s="1">
        <v>40725</v>
      </c>
      <c r="D178">
        <v>755</v>
      </c>
      <c r="E178" t="s">
        <v>60</v>
      </c>
      <c r="F178" t="s">
        <v>38</v>
      </c>
      <c r="G178" t="s">
        <v>26</v>
      </c>
      <c r="H178">
        <v>2</v>
      </c>
      <c r="I178" s="2">
        <v>874.79399999999998</v>
      </c>
      <c r="J178" s="2">
        <v>1749.588</v>
      </c>
      <c r="K178" s="2">
        <v>168.19281050568401</v>
      </c>
      <c r="L178" s="2">
        <v>52.560252276069903</v>
      </c>
      <c r="M178" s="2">
        <f>SUM(Table1[[#This Row],[LineTotal]]+Table1[[#This Row],[TaxAmt]]+Table1[[#This Row],[Freight]])</f>
        <v>1970.3410627817539</v>
      </c>
      <c r="N178"/>
      <c r="O178"/>
      <c r="P178"/>
    </row>
    <row r="179" spans="1:16" x14ac:dyDescent="0.3">
      <c r="A179">
        <v>856</v>
      </c>
      <c r="B179">
        <v>43879</v>
      </c>
      <c r="C179" s="1">
        <v>40725</v>
      </c>
      <c r="D179">
        <v>707</v>
      </c>
      <c r="E179" t="s">
        <v>61</v>
      </c>
      <c r="F179" t="s">
        <v>29</v>
      </c>
      <c r="G179" t="s">
        <v>30</v>
      </c>
      <c r="H179">
        <v>4</v>
      </c>
      <c r="I179" s="2">
        <v>20.186499999999999</v>
      </c>
      <c r="J179" s="2">
        <v>80.745999999999995</v>
      </c>
      <c r="K179" s="2">
        <v>7.7623398634946996</v>
      </c>
      <c r="L179" s="2">
        <v>2.4257311608696002</v>
      </c>
      <c r="M179" s="2">
        <f>SUM(Table1[[#This Row],[LineTotal]]+Table1[[#This Row],[TaxAmt]]+Table1[[#This Row],[Freight]])</f>
        <v>90.9340710243643</v>
      </c>
      <c r="N179"/>
      <c r="O179"/>
      <c r="P179"/>
    </row>
    <row r="180" spans="1:16" x14ac:dyDescent="0.3">
      <c r="A180">
        <v>857</v>
      </c>
      <c r="B180">
        <v>43879</v>
      </c>
      <c r="C180" s="1">
        <v>40725</v>
      </c>
      <c r="D180">
        <v>711</v>
      </c>
      <c r="E180" t="s">
        <v>28</v>
      </c>
      <c r="F180" t="s">
        <v>29</v>
      </c>
      <c r="G180" t="s">
        <v>30</v>
      </c>
      <c r="H180">
        <v>5</v>
      </c>
      <c r="I180" s="2">
        <v>20.186499999999999</v>
      </c>
      <c r="J180" s="2">
        <v>100.9325</v>
      </c>
      <c r="K180" s="2">
        <v>9.7029248293683992</v>
      </c>
      <c r="L180" s="2">
        <v>3.032163951087</v>
      </c>
      <c r="M180" s="2">
        <f>SUM(Table1[[#This Row],[LineTotal]]+Table1[[#This Row],[TaxAmt]]+Table1[[#This Row],[Freight]])</f>
        <v>113.6675887804554</v>
      </c>
      <c r="N180"/>
      <c r="O180"/>
      <c r="P180"/>
    </row>
    <row r="181" spans="1:16" x14ac:dyDescent="0.3">
      <c r="A181">
        <v>858</v>
      </c>
      <c r="B181">
        <v>43879</v>
      </c>
      <c r="C181" s="1">
        <v>40725</v>
      </c>
      <c r="D181">
        <v>722</v>
      </c>
      <c r="E181" t="s">
        <v>53</v>
      </c>
      <c r="F181" t="s">
        <v>41</v>
      </c>
      <c r="G181" t="s">
        <v>15</v>
      </c>
      <c r="H181">
        <v>5</v>
      </c>
      <c r="I181" s="2">
        <v>178.58080000000001</v>
      </c>
      <c r="J181" s="2">
        <v>892.904</v>
      </c>
      <c r="K181" s="2">
        <v>85.837370439079194</v>
      </c>
      <c r="L181" s="2">
        <v>26.824177748311001</v>
      </c>
      <c r="M181" s="2">
        <f>SUM(Table1[[#This Row],[LineTotal]]+Table1[[#This Row],[TaxAmt]]+Table1[[#This Row],[Freight]])</f>
        <v>1005.5655481873903</v>
      </c>
      <c r="N181"/>
      <c r="O181"/>
      <c r="P181"/>
    </row>
    <row r="182" spans="1:16" x14ac:dyDescent="0.3">
      <c r="A182">
        <v>859</v>
      </c>
      <c r="B182">
        <v>43879</v>
      </c>
      <c r="C182" s="1">
        <v>40725</v>
      </c>
      <c r="D182">
        <v>753</v>
      </c>
      <c r="E182" t="s">
        <v>47</v>
      </c>
      <c r="F182" t="s">
        <v>38</v>
      </c>
      <c r="G182" t="s">
        <v>26</v>
      </c>
      <c r="H182">
        <v>1</v>
      </c>
      <c r="I182" s="2">
        <v>2146.962</v>
      </c>
      <c r="J182" s="2">
        <v>2146.962</v>
      </c>
      <c r="K182" s="2">
        <v>206.39348968380199</v>
      </c>
      <c r="L182" s="2">
        <v>64.497964290527605</v>
      </c>
      <c r="M182" s="2">
        <f>SUM(Table1[[#This Row],[LineTotal]]+Table1[[#This Row],[TaxAmt]]+Table1[[#This Row],[Freight]])</f>
        <v>2417.8534539743296</v>
      </c>
      <c r="N182"/>
      <c r="O182"/>
      <c r="P182"/>
    </row>
    <row r="183" spans="1:16" x14ac:dyDescent="0.3">
      <c r="A183">
        <v>860</v>
      </c>
      <c r="B183">
        <v>43879</v>
      </c>
      <c r="C183" s="1">
        <v>40725</v>
      </c>
      <c r="D183">
        <v>712</v>
      </c>
      <c r="E183" t="s">
        <v>18</v>
      </c>
      <c r="F183" t="s">
        <v>19</v>
      </c>
      <c r="G183" t="s">
        <v>20</v>
      </c>
      <c r="H183">
        <v>13</v>
      </c>
      <c r="I183" s="2">
        <v>5.0136000000000003</v>
      </c>
      <c r="J183" s="2">
        <v>63.873263999999999</v>
      </c>
      <c r="K183" s="2">
        <v>6.1403163420939997</v>
      </c>
      <c r="L183" s="2">
        <v>1.9188488201428</v>
      </c>
      <c r="M183" s="2">
        <f>SUM(Table1[[#This Row],[LineTotal]]+Table1[[#This Row],[TaxAmt]]+Table1[[#This Row],[Freight]])</f>
        <v>71.932429162236801</v>
      </c>
      <c r="N183"/>
      <c r="O183"/>
      <c r="P183"/>
    </row>
    <row r="184" spans="1:16" x14ac:dyDescent="0.3">
      <c r="A184">
        <v>882</v>
      </c>
      <c r="B184">
        <v>43882</v>
      </c>
      <c r="C184" s="1">
        <v>40725</v>
      </c>
      <c r="D184">
        <v>778</v>
      </c>
      <c r="E184" t="s">
        <v>27</v>
      </c>
      <c r="F184" t="s">
        <v>25</v>
      </c>
      <c r="G184" t="s">
        <v>26</v>
      </c>
      <c r="H184">
        <v>1</v>
      </c>
      <c r="I184" s="2">
        <v>2024.9939999999999</v>
      </c>
      <c r="J184" s="2">
        <v>2024.9939999999999</v>
      </c>
      <c r="K184" s="2">
        <v>194.39940000000001</v>
      </c>
      <c r="L184" s="2">
        <v>60.7498</v>
      </c>
      <c r="M184" s="2">
        <f>SUM(Table1[[#This Row],[LineTotal]]+Table1[[#This Row],[TaxAmt]]+Table1[[#This Row],[Freight]])</f>
        <v>2280.1432</v>
      </c>
      <c r="N184"/>
      <c r="O184"/>
      <c r="P184"/>
    </row>
    <row r="185" spans="1:16" x14ac:dyDescent="0.3">
      <c r="A185">
        <v>924</v>
      </c>
      <c r="B185">
        <v>43886</v>
      </c>
      <c r="C185" s="1">
        <v>40725</v>
      </c>
      <c r="D185">
        <v>754</v>
      </c>
      <c r="E185" t="s">
        <v>42</v>
      </c>
      <c r="F185" t="s">
        <v>38</v>
      </c>
      <c r="G185" t="s">
        <v>26</v>
      </c>
      <c r="H185">
        <v>2</v>
      </c>
      <c r="I185" s="2">
        <v>874.79399999999998</v>
      </c>
      <c r="J185" s="2">
        <v>1749.588</v>
      </c>
      <c r="K185" s="2">
        <v>167.82187909831899</v>
      </c>
      <c r="L185" s="2">
        <v>52.444338478153099</v>
      </c>
      <c r="M185" s="2">
        <f>SUM(Table1[[#This Row],[LineTotal]]+Table1[[#This Row],[TaxAmt]]+Table1[[#This Row],[Freight]])</f>
        <v>1969.8542175764719</v>
      </c>
      <c r="N185"/>
      <c r="O185"/>
      <c r="P185"/>
    </row>
    <row r="186" spans="1:16" x14ac:dyDescent="0.3">
      <c r="A186">
        <v>925</v>
      </c>
      <c r="B186">
        <v>43886</v>
      </c>
      <c r="C186" s="1">
        <v>40725</v>
      </c>
      <c r="D186">
        <v>763</v>
      </c>
      <c r="E186" t="s">
        <v>49</v>
      </c>
      <c r="F186" t="s">
        <v>38</v>
      </c>
      <c r="G186" t="s">
        <v>26</v>
      </c>
      <c r="H186">
        <v>1</v>
      </c>
      <c r="I186" s="2">
        <v>419.45890000000003</v>
      </c>
      <c r="J186" s="2">
        <v>419.45890000000003</v>
      </c>
      <c r="K186" s="2">
        <v>40.234832887807798</v>
      </c>
      <c r="L186" s="2">
        <v>12.573385579504301</v>
      </c>
      <c r="M186" s="2">
        <f>SUM(Table1[[#This Row],[LineTotal]]+Table1[[#This Row],[TaxAmt]]+Table1[[#This Row],[Freight]])</f>
        <v>472.26711846731212</v>
      </c>
      <c r="N186"/>
      <c r="O186"/>
      <c r="P186"/>
    </row>
    <row r="187" spans="1:16" x14ac:dyDescent="0.3">
      <c r="A187">
        <v>926</v>
      </c>
      <c r="B187">
        <v>43886</v>
      </c>
      <c r="C187" s="1">
        <v>40725</v>
      </c>
      <c r="D187">
        <v>726</v>
      </c>
      <c r="E187" t="s">
        <v>56</v>
      </c>
      <c r="F187" t="s">
        <v>41</v>
      </c>
      <c r="G187" t="s">
        <v>15</v>
      </c>
      <c r="H187">
        <v>2</v>
      </c>
      <c r="I187" s="2">
        <v>183.93819999999999</v>
      </c>
      <c r="J187" s="2">
        <v>367.87639999999999</v>
      </c>
      <c r="K187" s="2">
        <v>35.286998266977598</v>
      </c>
      <c r="L187" s="2">
        <v>11.0271872233488</v>
      </c>
      <c r="M187" s="2">
        <f>SUM(Table1[[#This Row],[LineTotal]]+Table1[[#This Row],[TaxAmt]]+Table1[[#This Row],[Freight]])</f>
        <v>414.19058549032638</v>
      </c>
      <c r="N187"/>
      <c r="O187"/>
      <c r="P187"/>
    </row>
    <row r="188" spans="1:16" x14ac:dyDescent="0.3">
      <c r="A188">
        <v>927</v>
      </c>
      <c r="B188">
        <v>43886</v>
      </c>
      <c r="C188" s="1">
        <v>40725</v>
      </c>
      <c r="D188">
        <v>768</v>
      </c>
      <c r="E188" t="s">
        <v>46</v>
      </c>
      <c r="F188" t="s">
        <v>38</v>
      </c>
      <c r="G188" t="s">
        <v>26</v>
      </c>
      <c r="H188">
        <v>1</v>
      </c>
      <c r="I188" s="2">
        <v>419.45890000000003</v>
      </c>
      <c r="J188" s="2">
        <v>419.45890000000003</v>
      </c>
      <c r="K188" s="2">
        <v>40.234832887807798</v>
      </c>
      <c r="L188" s="2">
        <v>12.573385579504301</v>
      </c>
      <c r="M188" s="2">
        <f>SUM(Table1[[#This Row],[LineTotal]]+Table1[[#This Row],[TaxAmt]]+Table1[[#This Row],[Freight]])</f>
        <v>472.26711846731212</v>
      </c>
      <c r="N188"/>
      <c r="O188"/>
      <c r="P188"/>
    </row>
    <row r="189" spans="1:16" x14ac:dyDescent="0.3">
      <c r="A189">
        <v>928</v>
      </c>
      <c r="B189">
        <v>43886</v>
      </c>
      <c r="C189" s="1">
        <v>40725</v>
      </c>
      <c r="D189">
        <v>756</v>
      </c>
      <c r="E189" t="s">
        <v>48</v>
      </c>
      <c r="F189" t="s">
        <v>38</v>
      </c>
      <c r="G189" t="s">
        <v>26</v>
      </c>
      <c r="H189">
        <v>2</v>
      </c>
      <c r="I189" s="2">
        <v>874.79399999999998</v>
      </c>
      <c r="J189" s="2">
        <v>1749.588</v>
      </c>
      <c r="K189" s="2">
        <v>167.82187909831899</v>
      </c>
      <c r="L189" s="2">
        <v>52.444338478153099</v>
      </c>
      <c r="M189" s="2">
        <f>SUM(Table1[[#This Row],[LineTotal]]+Table1[[#This Row],[TaxAmt]]+Table1[[#This Row],[Freight]])</f>
        <v>1969.8542175764719</v>
      </c>
      <c r="N189"/>
      <c r="O189"/>
      <c r="P189"/>
    </row>
    <row r="190" spans="1:16" x14ac:dyDescent="0.3">
      <c r="A190">
        <v>929</v>
      </c>
      <c r="B190">
        <v>43886</v>
      </c>
      <c r="C190" s="1">
        <v>40725</v>
      </c>
      <c r="D190">
        <v>711</v>
      </c>
      <c r="E190" t="s">
        <v>28</v>
      </c>
      <c r="F190" t="s">
        <v>29</v>
      </c>
      <c r="G190" t="s">
        <v>30</v>
      </c>
      <c r="H190">
        <v>3</v>
      </c>
      <c r="I190" s="2">
        <v>20.186499999999999</v>
      </c>
      <c r="J190" s="2">
        <v>60.5595</v>
      </c>
      <c r="K190" s="2">
        <v>5.8089156345691997</v>
      </c>
      <c r="L190" s="2">
        <v>1.8152861794135</v>
      </c>
      <c r="M190" s="2">
        <f>SUM(Table1[[#This Row],[LineTotal]]+Table1[[#This Row],[TaxAmt]]+Table1[[#This Row],[Freight]])</f>
        <v>68.183701813982708</v>
      </c>
      <c r="N190"/>
      <c r="O190"/>
      <c r="P190"/>
    </row>
    <row r="191" spans="1:16" x14ac:dyDescent="0.3">
      <c r="A191">
        <v>930</v>
      </c>
      <c r="B191">
        <v>43886</v>
      </c>
      <c r="C191" s="1">
        <v>40725</v>
      </c>
      <c r="D191">
        <v>712</v>
      </c>
      <c r="E191" t="s">
        <v>18</v>
      </c>
      <c r="F191" t="s">
        <v>19</v>
      </c>
      <c r="G191" t="s">
        <v>20</v>
      </c>
      <c r="H191">
        <v>6</v>
      </c>
      <c r="I191" s="2">
        <v>5.1864999999999997</v>
      </c>
      <c r="J191" s="2">
        <v>31.119</v>
      </c>
      <c r="K191" s="2">
        <v>2.9849593479497001</v>
      </c>
      <c r="L191" s="2">
        <v>0.93279981864399997</v>
      </c>
      <c r="M191" s="2">
        <f>SUM(Table1[[#This Row],[LineTotal]]+Table1[[#This Row],[TaxAmt]]+Table1[[#This Row],[Freight]])</f>
        <v>35.036759166593697</v>
      </c>
      <c r="N191"/>
      <c r="O191"/>
      <c r="P191"/>
    </row>
    <row r="192" spans="1:16" x14ac:dyDescent="0.3">
      <c r="A192">
        <v>931</v>
      </c>
      <c r="B192">
        <v>43886</v>
      </c>
      <c r="C192" s="1">
        <v>40725</v>
      </c>
      <c r="D192">
        <v>708</v>
      </c>
      <c r="E192" t="s">
        <v>36</v>
      </c>
      <c r="F192" t="s">
        <v>29</v>
      </c>
      <c r="G192" t="s">
        <v>30</v>
      </c>
      <c r="H192">
        <v>1</v>
      </c>
      <c r="I192" s="2">
        <v>20.186499999999999</v>
      </c>
      <c r="J192" s="2">
        <v>20.186499999999999</v>
      </c>
      <c r="K192" s="2">
        <v>1.9363052115231001</v>
      </c>
      <c r="L192" s="2">
        <v>0.60509539313780003</v>
      </c>
      <c r="M192" s="2">
        <f>SUM(Table1[[#This Row],[LineTotal]]+Table1[[#This Row],[TaxAmt]]+Table1[[#This Row],[Freight]])</f>
        <v>22.727900604660896</v>
      </c>
      <c r="N192"/>
      <c r="O192"/>
      <c r="P192"/>
    </row>
    <row r="193" spans="1:16" x14ac:dyDescent="0.3">
      <c r="A193">
        <v>932</v>
      </c>
      <c r="B193">
        <v>43886</v>
      </c>
      <c r="C193" s="1">
        <v>40725</v>
      </c>
      <c r="D193">
        <v>758</v>
      </c>
      <c r="E193" t="s">
        <v>51</v>
      </c>
      <c r="F193" t="s">
        <v>38</v>
      </c>
      <c r="G193" t="s">
        <v>26</v>
      </c>
      <c r="H193">
        <v>2</v>
      </c>
      <c r="I193" s="2">
        <v>874.79399999999998</v>
      </c>
      <c r="J193" s="2">
        <v>1749.588</v>
      </c>
      <c r="K193" s="2">
        <v>167.82187909831899</v>
      </c>
      <c r="L193" s="2">
        <v>52.444338478153099</v>
      </c>
      <c r="M193" s="2">
        <f>SUM(Table1[[#This Row],[LineTotal]]+Table1[[#This Row],[TaxAmt]]+Table1[[#This Row],[Freight]])</f>
        <v>1969.8542175764719</v>
      </c>
      <c r="N193"/>
      <c r="O193"/>
      <c r="P193"/>
    </row>
    <row r="194" spans="1:16" x14ac:dyDescent="0.3">
      <c r="A194">
        <v>933</v>
      </c>
      <c r="B194">
        <v>43886</v>
      </c>
      <c r="C194" s="1">
        <v>40725</v>
      </c>
      <c r="D194">
        <v>770</v>
      </c>
      <c r="E194" t="s">
        <v>39</v>
      </c>
      <c r="F194" t="s">
        <v>38</v>
      </c>
      <c r="G194" t="s">
        <v>26</v>
      </c>
      <c r="H194">
        <v>2</v>
      </c>
      <c r="I194" s="2">
        <v>419.45890000000003</v>
      </c>
      <c r="J194" s="2">
        <v>838.91780000000006</v>
      </c>
      <c r="K194" s="2">
        <v>80.469665775615596</v>
      </c>
      <c r="L194" s="2">
        <v>25.146771159008601</v>
      </c>
      <c r="M194" s="2">
        <f>SUM(Table1[[#This Row],[LineTotal]]+Table1[[#This Row],[TaxAmt]]+Table1[[#This Row],[Freight]])</f>
        <v>944.53423693462423</v>
      </c>
      <c r="N194"/>
      <c r="O194"/>
      <c r="P194"/>
    </row>
    <row r="195" spans="1:16" x14ac:dyDescent="0.3">
      <c r="A195">
        <v>934</v>
      </c>
      <c r="B195">
        <v>43886</v>
      </c>
      <c r="C195" s="1">
        <v>40725</v>
      </c>
      <c r="D195">
        <v>760</v>
      </c>
      <c r="E195" t="s">
        <v>55</v>
      </c>
      <c r="F195" t="s">
        <v>38</v>
      </c>
      <c r="G195" t="s">
        <v>26</v>
      </c>
      <c r="H195">
        <v>5</v>
      </c>
      <c r="I195" s="2">
        <v>419.45890000000003</v>
      </c>
      <c r="J195" s="2">
        <v>2097.2945</v>
      </c>
      <c r="K195" s="2">
        <v>201.174164439039</v>
      </c>
      <c r="L195" s="2">
        <v>62.866927897521499</v>
      </c>
      <c r="M195" s="2">
        <f>SUM(Table1[[#This Row],[LineTotal]]+Table1[[#This Row],[TaxAmt]]+Table1[[#This Row],[Freight]])</f>
        <v>2361.3355923365607</v>
      </c>
      <c r="N195"/>
      <c r="O195"/>
      <c r="P195"/>
    </row>
    <row r="196" spans="1:16" x14ac:dyDescent="0.3">
      <c r="A196">
        <v>935</v>
      </c>
      <c r="B196">
        <v>43886</v>
      </c>
      <c r="C196" s="1">
        <v>40725</v>
      </c>
      <c r="D196">
        <v>733</v>
      </c>
      <c r="E196" t="s">
        <v>57</v>
      </c>
      <c r="F196" t="s">
        <v>41</v>
      </c>
      <c r="G196" t="s">
        <v>15</v>
      </c>
      <c r="H196">
        <v>1</v>
      </c>
      <c r="I196" s="2">
        <v>356.89800000000002</v>
      </c>
      <c r="J196" s="2">
        <v>356.89800000000002</v>
      </c>
      <c r="K196" s="2">
        <v>34.233941365871203</v>
      </c>
      <c r="L196" s="2">
        <v>10.6981069338472</v>
      </c>
      <c r="M196" s="2">
        <f>SUM(Table1[[#This Row],[LineTotal]]+Table1[[#This Row],[TaxAmt]]+Table1[[#This Row],[Freight]])</f>
        <v>401.83004829971844</v>
      </c>
      <c r="N196"/>
      <c r="O196"/>
      <c r="P196"/>
    </row>
    <row r="197" spans="1:16" x14ac:dyDescent="0.3">
      <c r="A197">
        <v>936</v>
      </c>
      <c r="B197">
        <v>43886</v>
      </c>
      <c r="C197" s="1">
        <v>40725</v>
      </c>
      <c r="D197">
        <v>716</v>
      </c>
      <c r="E197" t="s">
        <v>34</v>
      </c>
      <c r="F197" t="s">
        <v>22</v>
      </c>
      <c r="G197" t="s">
        <v>20</v>
      </c>
      <c r="H197">
        <v>1</v>
      </c>
      <c r="I197" s="2">
        <v>28.840399999999999</v>
      </c>
      <c r="J197" s="2">
        <v>28.840399999999999</v>
      </c>
      <c r="K197" s="2">
        <v>2.7663942150650001</v>
      </c>
      <c r="L197" s="2">
        <v>0.86449821297660001</v>
      </c>
      <c r="M197" s="2">
        <f>SUM(Table1[[#This Row],[LineTotal]]+Table1[[#This Row],[TaxAmt]]+Table1[[#This Row],[Freight]])</f>
        <v>32.4712924280416</v>
      </c>
      <c r="N197"/>
      <c r="O197"/>
      <c r="P197"/>
    </row>
    <row r="198" spans="1:16" x14ac:dyDescent="0.3">
      <c r="A198">
        <v>937</v>
      </c>
      <c r="B198">
        <v>43886</v>
      </c>
      <c r="C198" s="1">
        <v>40725</v>
      </c>
      <c r="D198">
        <v>730</v>
      </c>
      <c r="E198" t="s">
        <v>40</v>
      </c>
      <c r="F198" t="s">
        <v>41</v>
      </c>
      <c r="G198" t="s">
        <v>15</v>
      </c>
      <c r="H198">
        <v>1</v>
      </c>
      <c r="I198" s="2">
        <v>183.93819999999999</v>
      </c>
      <c r="J198" s="2">
        <v>183.93819999999999</v>
      </c>
      <c r="K198" s="2">
        <v>17.643499133488799</v>
      </c>
      <c r="L198" s="2">
        <v>5.5135936116744002</v>
      </c>
      <c r="M198" s="2">
        <f>SUM(Table1[[#This Row],[LineTotal]]+Table1[[#This Row],[TaxAmt]]+Table1[[#This Row],[Freight]])</f>
        <v>207.09529274516319</v>
      </c>
      <c r="N198"/>
      <c r="O198"/>
      <c r="P198"/>
    </row>
    <row r="199" spans="1:16" x14ac:dyDescent="0.3">
      <c r="A199">
        <v>938</v>
      </c>
      <c r="B199">
        <v>43886</v>
      </c>
      <c r="C199" s="1">
        <v>40725</v>
      </c>
      <c r="D199">
        <v>755</v>
      </c>
      <c r="E199" t="s">
        <v>60</v>
      </c>
      <c r="F199" t="s">
        <v>38</v>
      </c>
      <c r="G199" t="s">
        <v>26</v>
      </c>
      <c r="H199">
        <v>1</v>
      </c>
      <c r="I199" s="2">
        <v>874.79399999999998</v>
      </c>
      <c r="J199" s="2">
        <v>874.79399999999998</v>
      </c>
      <c r="K199" s="2">
        <v>83.910939549159494</v>
      </c>
      <c r="L199" s="2">
        <v>26.2221692390765</v>
      </c>
      <c r="M199" s="2">
        <f>SUM(Table1[[#This Row],[LineTotal]]+Table1[[#This Row],[TaxAmt]]+Table1[[#This Row],[Freight]])</f>
        <v>984.92710878823596</v>
      </c>
      <c r="N199"/>
      <c r="O199"/>
      <c r="P19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7074-6BE4-4CAE-ACCE-F42F75BDD97A}">
  <dimension ref="B4:F17"/>
  <sheetViews>
    <sheetView workbookViewId="0">
      <selection activeCell="B12" sqref="B12:B13"/>
    </sheetView>
  </sheetViews>
  <sheetFormatPr defaultColWidth="9.109375" defaultRowHeight="14.4" x14ac:dyDescent="0.3"/>
  <cols>
    <col min="1" max="1" width="9.109375" style="6"/>
    <col min="2" max="2" width="141.6640625" style="6" customWidth="1"/>
    <col min="3" max="5" width="9.109375" style="6"/>
    <col min="6" max="6" width="33" style="7" customWidth="1"/>
    <col min="7" max="16384" width="9.109375" style="6"/>
  </cols>
  <sheetData>
    <row r="4" spans="2:2" x14ac:dyDescent="0.3">
      <c r="B4" s="15" t="s">
        <v>72</v>
      </c>
    </row>
    <row r="5" spans="2:2" x14ac:dyDescent="0.3">
      <c r="B5" s="16"/>
    </row>
    <row r="6" spans="2:2" x14ac:dyDescent="0.3">
      <c r="B6" s="17" t="s">
        <v>82</v>
      </c>
    </row>
    <row r="7" spans="2:2" x14ac:dyDescent="0.3">
      <c r="B7" s="17"/>
    </row>
    <row r="8" spans="2:2" x14ac:dyDescent="0.3">
      <c r="B8" s="17" t="s">
        <v>84</v>
      </c>
    </row>
    <row r="9" spans="2:2" x14ac:dyDescent="0.3">
      <c r="B9" s="17"/>
    </row>
    <row r="10" spans="2:2" x14ac:dyDescent="0.3">
      <c r="B10" s="17" t="s">
        <v>85</v>
      </c>
    </row>
    <row r="11" spans="2:2" x14ac:dyDescent="0.3">
      <c r="B11" s="17"/>
    </row>
    <row r="12" spans="2:2" x14ac:dyDescent="0.3">
      <c r="B12" s="17" t="s">
        <v>71</v>
      </c>
    </row>
    <row r="13" spans="2:2" x14ac:dyDescent="0.3">
      <c r="B13" s="17"/>
    </row>
    <row r="14" spans="2:2" x14ac:dyDescent="0.3">
      <c r="B14" s="17" t="s">
        <v>73</v>
      </c>
    </row>
    <row r="15" spans="2:2" x14ac:dyDescent="0.3">
      <c r="B15" s="17"/>
    </row>
    <row r="16" spans="2:2" x14ac:dyDescent="0.3">
      <c r="B16" s="17" t="s">
        <v>83</v>
      </c>
    </row>
    <row r="17" spans="2:2" x14ac:dyDescent="0.3">
      <c r="B17" s="17"/>
    </row>
  </sheetData>
  <mergeCells count="7">
    <mergeCell ref="B4:B5"/>
    <mergeCell ref="B16:B17"/>
    <mergeCell ref="B6:B7"/>
    <mergeCell ref="B8:B9"/>
    <mergeCell ref="B10:B11"/>
    <mergeCell ref="B12:B13"/>
    <mergeCell ref="B14:B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eea00d-b0af-4d41-beaf-f78631db4817">
      <Terms xmlns="http://schemas.microsoft.com/office/infopath/2007/PartnerControls"/>
    </lcf76f155ced4ddcb4097134ff3c332f>
    <TaxCatchAll xmlns="c0ed64b0-6a60-4244-affb-26b7fce0ff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71A8CA3E18B44ACFE0AD4EB8285B1" ma:contentTypeVersion="13" ma:contentTypeDescription="Create a new document." ma:contentTypeScope="" ma:versionID="2eeabedc2560433a80263a51067a01b1">
  <xsd:schema xmlns:xsd="http://www.w3.org/2001/XMLSchema" xmlns:xs="http://www.w3.org/2001/XMLSchema" xmlns:p="http://schemas.microsoft.com/office/2006/metadata/properties" xmlns:ns2="aaeea00d-b0af-4d41-beaf-f78631db4817" xmlns:ns3="c0ed64b0-6a60-4244-affb-26b7fce0ff0f" targetNamespace="http://schemas.microsoft.com/office/2006/metadata/properties" ma:root="true" ma:fieldsID="9b120f5480f11fdeb7e2b140f81a059b" ns2:_="" ns3:_="">
    <xsd:import namespace="aaeea00d-b0af-4d41-beaf-f78631db4817"/>
    <xsd:import namespace="c0ed64b0-6a60-4244-affb-26b7fce0ff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ea00d-b0af-4d41-beaf-f78631db4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d64b0-6a60-4244-affb-26b7fce0ff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7c5e99f-68a8-41e7-9789-0c413156c842}" ma:internalName="TaxCatchAll" ma:showField="CatchAllData" ma:web="c0ed64b0-6a60-4244-affb-26b7fce0ff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A5D60D-8B17-4841-8C81-A8445798EA3E}">
  <ds:schemaRefs>
    <ds:schemaRef ds:uri="http://schemas.microsoft.com/office/2006/metadata/properties"/>
    <ds:schemaRef ds:uri="http://schemas.microsoft.com/office/infopath/2007/PartnerControls"/>
    <ds:schemaRef ds:uri="aaeea00d-b0af-4d41-beaf-f78631db4817"/>
    <ds:schemaRef ds:uri="c0ed64b0-6a60-4244-affb-26b7fce0ff0f"/>
  </ds:schemaRefs>
</ds:datastoreItem>
</file>

<file path=customXml/itemProps2.xml><?xml version="1.0" encoding="utf-8"?>
<ds:datastoreItem xmlns:ds="http://schemas.openxmlformats.org/officeDocument/2006/customXml" ds:itemID="{52753DBF-0530-48F9-BC90-B9C72F1EF6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C2FB87-9137-4C7A-AD5A-07CCB4181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eea00d-b0af-4d41-beaf-f78631db4817"/>
    <ds:schemaRef ds:uri="c0ed64b0-6a60-4244-affb-26b7fce0f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Zanoon</dc:creator>
  <cp:keywords/>
  <dc:description/>
  <cp:lastModifiedBy>Abdelrahman Taha</cp:lastModifiedBy>
  <cp:revision/>
  <dcterms:created xsi:type="dcterms:W3CDTF">2022-09-30T17:24:55Z</dcterms:created>
  <dcterms:modified xsi:type="dcterms:W3CDTF">2026-09-05T09:51:07Z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0x010100C2571A8CA3E18B44ACFE0AD4EB8285B1</vt:lpwstr>
  </property>
  <property fmtid="{D5CDD505-2E9C-101B-9397-08002B2CF9AE}" pid="3" name="MediaServiceImageTags">
    <vt:lpwstr/>
  </property>
</Properties>
</file>